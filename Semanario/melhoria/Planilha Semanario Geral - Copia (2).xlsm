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sisenaisp-my.sharepoint.com/personal/breno_silva_sesisp_org_br/Documents/Área de Trabalho/Semanario/melhoria/"/>
    </mc:Choice>
  </mc:AlternateContent>
  <xr:revisionPtr revIDLastSave="4530" documentId="8_{796FDA4F-9B4C-44EE-9D99-B9F1754A2AC8}" xr6:coauthVersionLast="47" xr6:coauthVersionMax="47" xr10:uidLastSave="{C1F7847D-4D0D-40E2-8377-4C60A752C6B5}"/>
  <bookViews>
    <workbookView xWindow="-108" yWindow="-108" windowWidth="23256" windowHeight="12456" xr2:uid="{F5CFD9A5-9EA5-4393-90E6-DCCD272CD06E}"/>
  </bookViews>
  <sheets>
    <sheet name="Modelo" sheetId="1" r:id="rId1"/>
    <sheet name="Resumo" sheetId="4" r:id="rId2"/>
    <sheet name="Semanário 2026" sheetId="3" state="hidden" r:id="rId3"/>
    <sheet name="padrao" sheetId="2" state="hidden" r:id="rId4"/>
  </sheets>
  <functionGroups builtInGroupCount="19"/>
  <definedNames>
    <definedName name="_xleta.T" hidden="1" xlm="1">#NAME?</definedName>
    <definedName name="_xlnm.Print_Area" localSheetId="0">Modelo!$A$1:$D$19</definedName>
    <definedName name="DadosExternos_1" localSheetId="2" hidden="1">'Semanário 2026'!$A$1:$O$213</definedName>
    <definedName name="DadosExternos_2" localSheetId="1" hidden="1">'Resumo'!$A$1:$J$156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D5" i="1" l="1"/>
  <c r="D6" i="1"/>
  <c r="D7" i="1"/>
  <c r="D8" i="1"/>
  <c r="D9" i="1"/>
  <c r="D10" i="1"/>
  <c r="D14" i="1"/>
  <c r="D15" i="1"/>
  <c r="D18" i="1"/>
  <c r="C5" i="1"/>
  <c r="C9" i="1"/>
  <c r="C15" i="1"/>
  <c r="C16" i="1"/>
  <c r="C17" i="1"/>
  <c r="C18" i="1"/>
  <c r="C19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D17" i="1"/>
  <c r="C11" i="1"/>
  <c r="D16" i="1"/>
  <c r="C10" i="1"/>
  <c r="D11" i="1"/>
  <c r="C6" i="1"/>
  <c r="C13" i="1"/>
  <c r="D13" i="1"/>
  <c r="C7" i="1"/>
  <c r="C12" i="1"/>
  <c r="D12" i="1"/>
  <c r="D19" i="1"/>
  <c r="C8" i="1"/>
  <c r="C14" i="1"/>
  <c r="C20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A2" i="2" a="1"/>
  <c r="C2" i="2" a="1"/>
  <c r="B2" i="1"/>
  <c r="A2" i="1"/>
  <c r="D20" i="1" l="1"/>
  <c r="D21" i="1"/>
  <c r="D22" i="1"/>
  <c r="B21" i="1"/>
  <c r="B22" i="1"/>
  <c r="C21" i="1"/>
  <c r="C22" i="1"/>
  <c r="B20" i="1"/>
  <c r="H9" i="2"/>
  <c r="H10" i="2"/>
  <c r="H7" i="2"/>
  <c r="H8" i="2"/>
  <c r="G16" i="2"/>
  <c r="G30" i="2"/>
  <c r="G31" i="2"/>
  <c r="G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H4" i="2"/>
  <c r="H5" i="2"/>
  <c r="H6" i="2"/>
  <c r="H3" i="2"/>
  <c r="A2" i="2"/>
  <c r="G2" i="2" s="1"/>
  <c r="C2" i="2"/>
  <c r="H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FA0BE2-4C88-4E10-B33D-74BAB971C2C4}" keepAlive="1" interval="1" name="Consulta - Resumo" description="Conexão com a consulta 'Resumo' na pasta de trabalho." type="5" refreshedVersion="8" background="1" refreshOnLoad="1" saveData="1">
    <dbPr connection="Provider=Microsoft.Mashup.OleDb.1;Data Source=$Workbook$;Location=Resumo;Extended Properties=&quot;&quot;" command="SELECT * FROM [Resumo]"/>
  </connection>
  <connection id="2" xr16:uid="{38E23537-A069-4A16-94BE-BB5ABC2C88BD}" keepAlive="1" interval="1" name="Consulta - Semanário 2026" description="Conexão com a consulta 'Semanário 2026' na pasta de trabalho." type="5" refreshedVersion="8" background="1" refreshOnLoad="1" saveData="1">
    <dbPr connection="Provider=Microsoft.Mashup.OleDb.1;Data Source=$Workbook$;Location=&quot;Semanário 2026&quot;;Extended Properties=&quot;&quot;" command="SELECT * FROM [Semanário 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<sst xmlns="http://schemas.openxmlformats.org/spreadsheetml/2006/main" count="2901" uniqueCount="273">
  <si>
    <t>Disciplinas</t>
  </si>
  <si>
    <t>Atividades em Sala de aula</t>
  </si>
  <si>
    <t>Tarefas para Casa</t>
  </si>
  <si>
    <t>Atividade Avaliativa</t>
  </si>
  <si>
    <t xml:space="preserve"> </t>
  </si>
  <si>
    <t>Disciplina:</t>
  </si>
  <si>
    <t>Língua Portuguesa</t>
  </si>
  <si>
    <t>Língua Inglesa</t>
  </si>
  <si>
    <t>Arte</t>
  </si>
  <si>
    <t>Educação Física</t>
  </si>
  <si>
    <t>História</t>
  </si>
  <si>
    <t>Geografia</t>
  </si>
  <si>
    <t>Matemática</t>
  </si>
  <si>
    <t>Ciências da Natureza</t>
  </si>
  <si>
    <t>STEAM</t>
  </si>
  <si>
    <t>Programação e Robótica</t>
  </si>
  <si>
    <t>Criado por.title</t>
  </si>
  <si>
    <t>Professor:</t>
  </si>
  <si>
    <t>Turma:</t>
  </si>
  <si>
    <t>Atividade em sala:</t>
  </si>
  <si>
    <t>Tarefa para casa:</t>
  </si>
  <si>
    <t>Atividade avaliativa:</t>
  </si>
  <si>
    <t>Selecione a Semana</t>
  </si>
  <si>
    <t>ID</t>
  </si>
  <si>
    <t>6º ano A</t>
  </si>
  <si>
    <t>6º ano B</t>
  </si>
  <si>
    <t>6º ano C</t>
  </si>
  <si>
    <t>6º ano D</t>
  </si>
  <si>
    <t>7º ano A</t>
  </si>
  <si>
    <t>7º ano B</t>
  </si>
  <si>
    <t>7º ano D</t>
  </si>
  <si>
    <t>7º ano C</t>
  </si>
  <si>
    <t>Trilha de Produção Textual</t>
  </si>
  <si>
    <t>1º ano A - EM</t>
  </si>
  <si>
    <t>1º ano B - EM</t>
  </si>
  <si>
    <t>1º ano C - EM</t>
  </si>
  <si>
    <t>1º ano D - EM</t>
  </si>
  <si>
    <t>1º ano E - EM</t>
  </si>
  <si>
    <t>8º ano A</t>
  </si>
  <si>
    <t>8º ano B</t>
  </si>
  <si>
    <t>8º ano C</t>
  </si>
  <si>
    <t>8º ano D</t>
  </si>
  <si>
    <t>9º ano A</t>
  </si>
  <si>
    <t>9º ano B</t>
  </si>
  <si>
    <t>9º ano C</t>
  </si>
  <si>
    <t>9º ano D</t>
  </si>
  <si>
    <t>9º ano E</t>
  </si>
  <si>
    <t>2º ano A - EM</t>
  </si>
  <si>
    <t>2º ano B - EM</t>
  </si>
  <si>
    <t>2º ano C - EM</t>
  </si>
  <si>
    <t>2º ano D - EM</t>
  </si>
  <si>
    <t>2º ano E - EM</t>
  </si>
  <si>
    <t>3º ano A - EM</t>
  </si>
  <si>
    <t>3º ano B - EM</t>
  </si>
  <si>
    <t>3º ano C - EM</t>
  </si>
  <si>
    <t>3º ano D - EM</t>
  </si>
  <si>
    <t>3º ano E - EM</t>
  </si>
  <si>
    <t>NumeroSemana</t>
  </si>
  <si>
    <t>InicioSemana</t>
  </si>
  <si>
    <t>FimSemana</t>
  </si>
  <si>
    <t>TextoSemana</t>
  </si>
  <si>
    <t>Aula</t>
  </si>
  <si>
    <t>Casa</t>
  </si>
  <si>
    <t>Avaliativa</t>
  </si>
  <si>
    <t>Chave</t>
  </si>
  <si>
    <t>Biologia</t>
  </si>
  <si>
    <t>Química</t>
  </si>
  <si>
    <t>Física</t>
  </si>
  <si>
    <t>Sociologia</t>
  </si>
  <si>
    <t>Filosofia</t>
  </si>
  <si>
    <t>Empreendedorismo</t>
  </si>
  <si>
    <t>Selecionar Semana</t>
  </si>
  <si>
    <t>Selecionar Turma</t>
  </si>
  <si>
    <t xml:space="preserve">Disciplinas </t>
  </si>
  <si>
    <t>tblDisciplinas2EM</t>
  </si>
  <si>
    <t>Turma</t>
  </si>
  <si>
    <t>TabelaDisciplina</t>
  </si>
  <si>
    <t>tblDisciplinasFundII</t>
  </si>
  <si>
    <t>tblDisciplinas1EM</t>
  </si>
  <si>
    <t>tblDisciplinas3EM</t>
  </si>
  <si>
    <t>Valor</t>
  </si>
  <si>
    <t>PastaBasePDFs</t>
  </si>
  <si>
    <t>Semana 2 - 05/jan a 09/jan</t>
  </si>
  <si>
    <t>Conceito /Características do gênero notícia e reportagem- Desenvolvimento Letrus</t>
  </si>
  <si>
    <t xml:space="preserve">Produção de notícia Letrus/exercícios do livro didático </t>
  </si>
  <si>
    <t>Produção de texto</t>
  </si>
  <si>
    <t>Talita Machiavelli do Carmo</t>
  </si>
  <si>
    <t>Talita Carmo</t>
  </si>
  <si>
    <t>Semana 2</t>
  </si>
  <si>
    <t>Investigando cap 2; avaliação do capítulo 1</t>
  </si>
  <si>
    <t xml:space="preserve">Estudar para avaliação </t>
  </si>
  <si>
    <t>Prova dissertativa/objetiva do capítulo 1</t>
  </si>
  <si>
    <t>Maite de Oliveira Silva Nascimento</t>
  </si>
  <si>
    <t>Maitê Nascimento</t>
  </si>
  <si>
    <t>Semana 8 - 16/fev a 20/fev</t>
  </si>
  <si>
    <t xml:space="preserve">Capitulo 2- Introdução a Notação científica- resolução das questões 13 até 23 e correção da avaliação </t>
  </si>
  <si>
    <t>Capítulo 2: Entrega dia 17/03 (terça-feira ) atividade 11 e 12 (página 39 e 41) Entrega dia 20/03(quinta-feira) atividade 24 página 49</t>
  </si>
  <si>
    <t>.</t>
  </si>
  <si>
    <t>Semana 7 - 09/fev a 13/fev</t>
  </si>
  <si>
    <t xml:space="preserve">Participação do projeto Letrus; Regência verbal e nominal; Produção de um vídeo de conscientização sobre o mês do respeito às mulheres; Conto, livro didático - páginas 71 a 78 - questões 1 a 7 (5ª f.); </t>
  </si>
  <si>
    <t>Livro didático, páginas 79 a 83 - questões 7 a 10.</t>
  </si>
  <si>
    <t>1 ponto</t>
  </si>
  <si>
    <t>Conto, livro didático - páginas 71 a 78, questões 1 a 6; Regência verbal e nominal; produção de vídeo de conscientização de respeito às mulheres; Música, livro didático, páginas 39 a 53.</t>
  </si>
  <si>
    <t>Semana 3 - 12/jan a 16/jan</t>
  </si>
  <si>
    <t>Análise de redações dissertativas-argumentativas do ENEM quanto à estrutura e à coesão textual. Revisão dos rascunhos dos textos e reescritas, se necessário.</t>
  </si>
  <si>
    <t>Acessar a plataforma Letrus, responder ao questionário, ler os textos da coletânea e produzir um rascunho do texto no caderno.</t>
  </si>
  <si>
    <t>Produção de texto na plataforma Letrus</t>
  </si>
  <si>
    <t>Capítulo 2: análise de uma reportagem para retomada e comparação com o gênero notícia e estudo de termos integrantes e acessórios em atividades contextualizadas.</t>
  </si>
  <si>
    <t>Leitura extraclasse da obra "Iracema", de José de Alencar.</t>
  </si>
  <si>
    <t>Avaliação individual sobre a literatura árcade.</t>
  </si>
  <si>
    <t>Análise de redações dissertativas-argumentativas do ENEM</t>
  </si>
  <si>
    <t>Produção de texto dissertativo-argumentativo</t>
  </si>
  <si>
    <t>Semana 1 - 29/dez a 02/jan</t>
  </si>
  <si>
    <t>Correção e devolutiva da Avaliação de Matemática 1, composta por situações-problema envolvendo números inteiros, conteúdo referente ao Capítulo 1. Em seguida, resolução e discussão coletiva dos exercícios 1, 2, 3, 4 e 5 do Capítulo 2 (páginas 52 a 56).</t>
  </si>
  <si>
    <t>Realizar exercícios extras sobre operações com números inteiros. O material estará disponível em anexo no Teams, para acesso caso necessário. Entrega em 20/03.</t>
  </si>
  <si>
    <t>Nenhuma</t>
  </si>
  <si>
    <t>*Capítulo 2: Solucionando a raiz do problema e aprendendo exponencialmente.
Atividades e Situações Problema com a nova operação: a Potenciação.
*Correção das atividades com novas explicações.
Obs: Pauta mais detalhada no Teams.</t>
  </si>
  <si>
    <t xml:space="preserve">*Desafios da semana: Realizar as atividades no caderno: pode copiar, ou imprimir e colar.
Obs: as atividades estão Pauta Semanal no Teams. Os alunos já tem conhecimento da postagem!
</t>
  </si>
  <si>
    <t>6A, 6B e 6D já realizaram a Prova Dissertativa na sexta-feira, dia 13/03. Somente o 6C fará a Prova Dissertativa na segunda-feira 16/03.
Conteúdo: As quatro operações. expressões numéricas - Capítulo1.</t>
  </si>
  <si>
    <t xml:space="preserve">Cap. 1: pág. 22 a 24
Estudo da Labanotação e o Movimento
Objetivo: Analisar como Laban utilizou a dança como uma forma de expressão artística e ideológica.
</t>
  </si>
  <si>
    <t xml:space="preserve">O que sei agora - pág. 25 - Realizar no caderno de desenho
</t>
  </si>
  <si>
    <t>Evidência: 
Participar ativamente nas discussões e debates sobre arte, propaganda e sociedade.
Criar uma sequência simples de movimentos que expressem um conceito ou ideia.</t>
  </si>
  <si>
    <t xml:space="preserve">Análise da obra: A vocação de São Mateus, no Encarte 4, do pintor italiano Caravaggio
Correção das questões sobre o Barroco 
Leitura imagética do padrão estético do Neoclassicismo - Ativ. 4 – pág. 39 
</t>
  </si>
  <si>
    <t>Ativ. 2 b – pág. 34</t>
  </si>
  <si>
    <t>Palácio da Memória: Associação de conceitos barrocos a elementos visuais e espaciais.
Analise e leitura não verbal de obras</t>
  </si>
  <si>
    <t xml:space="preserve">Análise da obra Impressão, nascer do sol, de Claude Monet - Ativ. 7, pág. 30 -  Encarte 4  
Entrega do desenho do Trajeto Casa- Sesi
</t>
  </si>
  <si>
    <t>Pesquisa de obras – pág. 32</t>
  </si>
  <si>
    <t>Descrever a estrutura de uma cidade</t>
  </si>
  <si>
    <t>• Introdução ao Capítulo 2 – The Country We Share (páginas 24, 25 e 26): apresentação do tema do capítulo, com reflexão sobre o país em que vivemos, sua diversidade cultural e geográfica.
• Leitura e interpretação de texto – Brazilian Northeast States You Must Visit (página 27): desenvolvimento da compreensão leitora em língua inglesa, identificação de informações principais do texto e ampliação de vocabulário.
• Saying Large Numbers in English (páginas 28 e 29): estudo e prática da leitura e da pronúncia de números grandes em inglês.</t>
  </si>
  <si>
    <t>• Praticar a escrita de números em inglês, revisando como escrever números grandes.
• Estudar para o ditado de números que será realizado em sala de aula.
• Ouvir a música The Big Numbers Song para praticar a pronúncia dos números em inglês:
https://youtu.be/e0dJWfQHF8Y?si=rupVBtf7edlH4U4k</t>
  </si>
  <si>
    <t/>
  </si>
  <si>
    <t>Semana 12 - 16/mar a 20/mar</t>
  </si>
  <si>
    <t xml:space="preserve">- Correção e esclarecimento de dúvidas das situações problema envolvendo descontos,  acréscimo sucessivos e descontos.
- Chamada individual dos alunos com dificuldades para esclarecimento de dúvidas.
- Atividade para levantamento de  conhecimento prévio: Razão.
</t>
  </si>
  <si>
    <t>Retoma: instruções da atividade postado no canal do Teams em atividades de aula.</t>
  </si>
  <si>
    <t>Atividade avaliativa em grupo:  técnicas operatórias com Números Reais</t>
  </si>
  <si>
    <t>Capítulo 2: pág 45 a 51 - investigando, vídeos sobre o conteúdo, análise de textos.</t>
  </si>
  <si>
    <t>Atividade 3 - pág 50</t>
  </si>
  <si>
    <t>Encarte da atividade experimental</t>
  </si>
  <si>
    <t>Capítulo 2: pág 42 a 50 - investigando, vídeos e atividades no livro</t>
  </si>
  <si>
    <t>Atividade 4 - pág 50</t>
  </si>
  <si>
    <t>montagem do filtro e análise de água no microscópio</t>
  </si>
  <si>
    <t>relatório da atividade experimental</t>
  </si>
  <si>
    <t>Pesquisa em grupos - tema do produto final</t>
  </si>
  <si>
    <t>Ana Paula de Oliveira Barbosa</t>
  </si>
  <si>
    <t>Ana Paula</t>
  </si>
  <si>
    <t>Semana 8</t>
  </si>
  <si>
    <t>Cristiano Candido da Silva</t>
  </si>
  <si>
    <t>Cristiano Silva</t>
  </si>
  <si>
    <t>Semana 7</t>
  </si>
  <si>
    <t>Claudia Moraes Mendonca</t>
  </si>
  <si>
    <t>Cláudia Moraes</t>
  </si>
  <si>
    <t>Semana 3</t>
  </si>
  <si>
    <t>Vinicius Morais Ferreira</t>
  </si>
  <si>
    <t>Vinícius Morais</t>
  </si>
  <si>
    <t>Semana 1</t>
  </si>
  <si>
    <t>Renata Pereira Teixeira Goncalves</t>
  </si>
  <si>
    <t>Renata Teixeira</t>
  </si>
  <si>
    <t>Ferdinanda Fernandes de Lima Souza</t>
  </si>
  <si>
    <t>Ferdinanda Souza</t>
  </si>
  <si>
    <t>Adriana de Brito Gosuen</t>
  </si>
  <si>
    <t>Adriana Gosuem</t>
  </si>
  <si>
    <t>Renata Parzewski Moreti</t>
  </si>
  <si>
    <t>Renata Parzewski</t>
  </si>
  <si>
    <t>Semana 12</t>
  </si>
  <si>
    <t xml:space="preserve">Levantamento de conhecimentos prévios sobre funções.
Atividades da unidade 2 em duplas.
Participação dos alunos em lousa.
Construção gráfica de funções </t>
  </si>
  <si>
    <t>Material didático - Unidade 2</t>
  </si>
  <si>
    <t>Participação em lousa e pauta de observação.</t>
  </si>
  <si>
    <t xml:space="preserve">Unidade 2
Entrega de mapa mental _ vídeo aula teams
Atividades do material didático </t>
  </si>
  <si>
    <t>Atividades da unidade 2.</t>
  </si>
  <si>
    <t>Pauta de observação e participação em lousa</t>
  </si>
  <si>
    <t xml:space="preserve">Linha do tempo tecnológica </t>
  </si>
  <si>
    <t xml:space="preserve">Mapa mental da linha tecnológica </t>
  </si>
  <si>
    <t>Apresentação em grupos</t>
  </si>
  <si>
    <t xml:space="preserve">Programação leitores de códigos </t>
  </si>
  <si>
    <t>Postagem de montagem e programação no teams</t>
  </si>
  <si>
    <t xml:space="preserve">Apresentação dos trabalhos </t>
  </si>
  <si>
    <t xml:space="preserve">Debate em sala sobre conflitos de gerações no mercado de trabalho </t>
  </si>
  <si>
    <t>Estudar características de gerações.</t>
  </si>
  <si>
    <t xml:space="preserve">Pauta de observações do debate </t>
  </si>
  <si>
    <t>Paulo Alexandre Mozetti</t>
  </si>
  <si>
    <t>Paulo Mozetti</t>
  </si>
  <si>
    <t xml:space="preserve">-Feedback Avaliação escrita e retomada de conteúdos (análise do erro)
- Atividades do livro sobre função social e características dos gêneros notícia e reportagem-(páginas 42 a 53)
- Diferença entre FATO e OPINIÃO e atividades.
-
</t>
  </si>
  <si>
    <t>- Movimento do Aprender- atividade 4, letra b (Unidade 2); atividade 7, letra e (Unidade 2).
-Exercícios extras (Preparação para a Recuperação)</t>
  </si>
  <si>
    <t>Produção de texto: plataforma Letrus 
Participação na socialização da correção coletiva e cumprimentos de tarefas.</t>
  </si>
  <si>
    <t xml:space="preserve">Vivências: </t>
  </si>
  <si>
    <t>Ana Carolina Moscardini Cunha</t>
  </si>
  <si>
    <t>Ana Carolina Cunha</t>
  </si>
  <si>
    <t>Chapter 2
Gramática: there is e there are; prepositions of place
Livro páginas: 33, 34, 26, 37, 38
Exercícios extras para prática do conteúdo disponíveis em: https://agendaweb.org/grammar/there_is_are-exercises.html</t>
  </si>
  <si>
    <t>Entrada no diário reflexivo - instruções no TEAMS</t>
  </si>
  <si>
    <t>Chapter 2
- Sports related collocations: do, play, go;
- Atividades extras para prática de gramática disponíveis em: https://agendaweb.org/vocabulary/hobbies-sports-intermediate-level-exercises.html;
- Livro páginas 40 e 41;
- Sequence markers and agreement statements;
- Livro páginas 44, 45, 46.</t>
  </si>
  <si>
    <t>Entrada no diário reflexivo - instruções no TEAMS.</t>
  </si>
  <si>
    <t>*ORAL TEST
Chapter 2
- Vocabulário: words related to entrepreneurship;
- Livro páginas 33 e 34;
- Gramática: quantifiers (few x little, a few x a litttle);
- Livro páginas 34 e 35.</t>
  </si>
  <si>
    <t>*ORAL TEST
Chapter 1
- Atividade de vídeo: Living Museum;
- Livro páginas 24 e 25.</t>
  </si>
  <si>
    <t>Leitura de obra literária - arquivo no TEAMS.</t>
  </si>
  <si>
    <t>Trabalho avaliativo de Literatura sobre o livro O futuro ancestral.
Trabalho em grupo de produção textual: elaboração de uma canção.
Atividades de revisão de sintaxe.
Atividade do mês das mulheres</t>
  </si>
  <si>
    <t>Terminar o texto para a apresentação do trabalho do livro.
Terminar a produção da canção.</t>
  </si>
  <si>
    <t>Trabalho com a canção Fio Maravilha, questões 1 a 6 - páginas 39 a 47
Trabalho em grupo do livro Futuro Ancestral de Ailton Krenak.
Trabalho em grupo sobre o mês de março "Conscientização sobre o respeito à mulher".</t>
  </si>
  <si>
    <t>Questões 7 a 10, páginas 47a 51.</t>
  </si>
  <si>
    <t xml:space="preserve">Entrega da atividade: Palácio de memória (folha “canson”)
Neoclassicismo: análise de obra, texto e questões – pág. 39/41 a 44 – ler o texto e grifar palavras-chaves.
</t>
  </si>
  <si>
    <t>Para casa: Atividade 5: a e b – pág. 44 (entregar)</t>
  </si>
  <si>
    <t>Atividade “Palácio da Memória”, em folha Canson.</t>
  </si>
  <si>
    <t>Semana 9</t>
  </si>
  <si>
    <t>Semana 9 - 23/fev a 27/fev</t>
  </si>
  <si>
    <t xml:space="preserve">Cap. 2 Reflexos e reflexões – pág. 28
Gente que inspira: leitura e análise – pág. 31 e 33
Atividade 3: Autorretrato – pág. 31 – folha “canson”
</t>
  </si>
  <si>
    <t>Para casa: Atividade 2 - pesquisa - pág. 30</t>
  </si>
  <si>
    <t>Atividade 3: Autorretrato –folha “canson”</t>
  </si>
  <si>
    <t xml:space="preserve">Ativ. 3 – Elementos que compõe um bairro
Tabela – Setores: residencial, comercial, institucional e industrial
</t>
  </si>
  <si>
    <t>Selecionar e juntar embalagens pequenas: pasta de dente, remédio, sabonete etc</t>
  </si>
  <si>
    <t>Tabela – Setores: residencial, comercial, institucional e industrial</t>
  </si>
  <si>
    <t>ATIVIDADE 1 E 2 (PÁG 48 A 50); VÍDEO E ATIVIDADE EXTRA SOBRE MICROPLÁSTICO; LIVRO PAG 52 A 57</t>
  </si>
  <si>
    <t>Pesquisa sobre propriedades da matéria</t>
  </si>
  <si>
    <t>Semana 4</t>
  </si>
  <si>
    <t>Semana 4 - 19/jan a 23/jan</t>
  </si>
  <si>
    <t>Desenvolvimento do protótipo referente ao produto final (sala de aula e LMT)</t>
  </si>
  <si>
    <t>Energia Cinética - livro pág 50 a 55 (uso de simulador PHET Colorado no LMT); vídeo e atividades em sala de aula</t>
  </si>
  <si>
    <t>Atividade 9 - referente a Sociedade e Ambiente (pag 55 a 58)</t>
  </si>
  <si>
    <t xml:space="preserve">- Atividade para levantamento de  conhecimento prévio: Razão.
- Trocando ideias: página 52.
- Resolução em dupla de das atividades: 1 a 9.
</t>
  </si>
  <si>
    <t xml:space="preserve">1)Organizando as ideias – páginas 54, 57,58,61,62,64 e 67. FAZER MAPA MENTAL no caderno do retoma.
2) Videos no TEAMS :  em atividade  de aula para fazer mapa mental no     caderno.
</t>
  </si>
  <si>
    <t xml:space="preserve">- Atividades do caderno o retoma.
- Apresentação e discussão das resoluções das atividades em sala.
</t>
  </si>
  <si>
    <t>Semana 13</t>
  </si>
  <si>
    <t>Semana 13 - 23/mar a 27/mar</t>
  </si>
  <si>
    <t>Estudar para o simulado</t>
  </si>
  <si>
    <t>SIMULASESI</t>
  </si>
  <si>
    <t>Chapter 2
- Sports related collocations: do, play, go;
- Livro páginas 40 e 41;
- Sequence markers and agreement statements;
- Livro páginas 44, 45, 46.</t>
  </si>
  <si>
    <t>Estudar para o SIMULADO</t>
  </si>
  <si>
    <t>Chapter 2
- Vocabulário: words related to entrepreneurship;
- Livro páginas 33 e 34;
- Gramática: quantifiers (few x little, a few x a litttle);
- Livro páginas 34 e 35.</t>
  </si>
  <si>
    <t xml:space="preserve">Chapter 2:
- Can, may, might, could 
- Sequency words </t>
  </si>
  <si>
    <t xml:space="preserve">Estudar para o SIMULADO.
</t>
  </si>
  <si>
    <t>Terminando as atividades sobre potenciação do Capítulo 2.
Atividades extras sobre potenciação: será impressa pela professora e entregue em aula.</t>
  </si>
  <si>
    <t>Atividades sobre potenciação anexadas na Pauta Semanal no Teams (pode imprimir ou copiar).</t>
  </si>
  <si>
    <t>Ana Laura Rodrigues Rissi</t>
  </si>
  <si>
    <t>Ana Laura Rissi</t>
  </si>
  <si>
    <t>Avaliação conteúdo Língua Portuguesa
Avaliação livro "O garoto consumista na roça"
Livro didático unidade 3: Identificar e avaliar teses/opiniões/posicionamentos explícitos e argumentos em textos argumentativos (carta de leitor, comentário, artigo de opinião, resenha crítica etc.), manifestando concordância ou discordância.</t>
  </si>
  <si>
    <t>Finalizar leitura/resumo do livro "O Garoto consumista na roça"</t>
  </si>
  <si>
    <t>Prova</t>
  </si>
  <si>
    <t>Participação do projeto Letrus; Regência verbal e nominal; Produção de um vídeo de conscientização sobre o mês do respeito às mulheres; Conto, livro didático - páginas 71 a 78 - questões 1 a 7 (5ª f.); 
Trabalho com a canção Fio Maravilha, questões 1 a 6 - páginas 39 a 47
Trabalho em grupo do livro Futuro Ancestral de Ailton Krenak.
Trabalho em grupo sobre o mês de março "Conscientização sobre o respeito à mulher".</t>
  </si>
  <si>
    <t>Livro didático, páginas 79 a 83 - questões 7 a 10.
Questões 7 a 10, páginas 47a 51.</t>
  </si>
  <si>
    <t>Conto, livro didático - páginas 71 a 78, questões 1 a 6; Regência verbal e nominal; produção de vídeo de conscientização de respeito às mulheres; Música, livro didático, páginas 39 a 53.
Trabalho avaliativo de Literatura sobre o livro O futuro ancestral.
Trabalho em grupo de produção textual: elaboração de uma canção.
Atividades de revisão de sintaxe.
Atividade do mês das mulheres</t>
  </si>
  <si>
    <t>Livro didático, páginas 79 a 83 - questões 7 a 10.
Terminar o texto para a apresentação do trabalho do livro.
Terminar a produção da canção.</t>
  </si>
  <si>
    <t>Vivências</t>
  </si>
  <si>
    <t>C:\Users\LIE\OneDrive - SESISENAISP - Corporativo\Área de Trabalho\Semanario\melhoria</t>
  </si>
  <si>
    <t>Criado em:</t>
  </si>
  <si>
    <t xml:space="preserve">Material didático e complementar no caderno: estudo das cantigas trovadorescas, variação linguística e figuras de linguagem. </t>
  </si>
  <si>
    <t>Produção de mapa mental sobre a literatura do Trovadorismo.</t>
  </si>
  <si>
    <t>Devolutiva de avaliação.</t>
  </si>
  <si>
    <t xml:space="preserve">Apresentação dos trabalho de Literatura do livro O futuro Ancestral, de Ailton Krenak; Apresentação do trabalho das composições musicais; </t>
  </si>
  <si>
    <t>Não haverá nesta semana.</t>
  </si>
  <si>
    <t>Aplicação de atividade avaliativa com foco em gramática.</t>
  </si>
  <si>
    <t>Gravação de um vídeo sobre a conscientização do respeito às mulheres;
Questões 11 a 17 do livro didático, páginas 53 a 60</t>
  </si>
  <si>
    <t>Atividade avaliativa com foco em gramática.</t>
  </si>
  <si>
    <t>Capítulo 2: uma nova operação: a Radiciação.
Atividades do livro: relação entre a Potenciação e a Radiciação (operações inversas)
Atividades de retomada de conceitos: As operações.</t>
  </si>
  <si>
    <t>Atividades postadas no Teams na
Pauta Semanal de 30/03 a 02/04.
Vou olhar na quinta-feira, 02/04.</t>
  </si>
  <si>
    <t xml:space="preserve">Finalização Autorretrato – análise de artistas – atividade 5 – pág. 34
Apreciação – música: “Saber de mim”  de Flavia Wenceslau – pág. 36
Mulheres na arte contemporânea: Teresa Poester – pág. 35
</t>
  </si>
  <si>
    <t>Para casa: Atividade 6 – pág 35</t>
  </si>
  <si>
    <t>Autorretrato</t>
  </si>
  <si>
    <t xml:space="preserve">Cap. 2 - NEOCLASSICISMO E O ACADEMICISMO - Pág. 43 e 44
A Nona sinfonia de Beethoven – Apreciação e Representação visual da audição
Correção e entrega do dever de casa
</t>
  </si>
  <si>
    <t>Para casa: Leitura do texto - Os artistas negros no academicismo no Brasil – pág. 52 realização atividade 6 – pág 53 ( no caderno)</t>
  </si>
  <si>
    <t>Representação visual da audição</t>
  </si>
  <si>
    <t xml:space="preserve">Atividade 3 – pág. 25
A partir do estudo sobre cidades, planejar e construir edificações e equipamentos para a maquete de uma cidade mais organizada e com melhor qualidade de vida.
Materiais: embalagens pequenas, papéis coloridos, cola, tesoura, tinta, revista, canetas coloridas etc
</t>
  </si>
  <si>
    <t>Finalizar edificações e equipamentos para a maquete</t>
  </si>
  <si>
    <t>Construir edificações e equipamentos para a maquete</t>
  </si>
  <si>
    <t xml:space="preserve">- Correção do SIMULASESI
- Chapter 2 "A better tomorrow": páginas 28 - 31 
</t>
  </si>
  <si>
    <t>- Entrada no diário reflexivo (instruções no TEAMS)</t>
  </si>
  <si>
    <t xml:space="preserve">- Correção do SIMULASESI
- Chapter 2 "Exercising brain and body": páginas 35 -36 </t>
  </si>
  <si>
    <t xml:space="preserve">
</t>
  </si>
  <si>
    <t>- Correção do SIMULASESI
- Chapter 2 "Entrepreneurship": vocabulário sobre empreendedorismo</t>
  </si>
  <si>
    <t xml:space="preserve">- Correção do SIMULASESI
- Chapter 2 "Entrepreneurship": páginas 28 - 31
</t>
  </si>
  <si>
    <t>Breno Malta Silva</t>
  </si>
  <si>
    <t>Escolha 35</t>
  </si>
  <si>
    <t>teste</t>
  </si>
  <si>
    <t>Entrega e correção das provas em sala, esclarecimento de dúvidas e reforço de questões com maior número de erros;
Início da RESENHA com o tema: "Sonhos na China antiga" (LETRUS) - orientações;
Atividade "Minhas raízes" - duração de duas aulas.</t>
  </si>
  <si>
    <t xml:space="preserve">Pesquisa e preparo para realizar na escola a primeira etapa da plataforma Letrus;
Pesquisar sobre o tema "Sonhos na China antiga" (maiores informações no TEAMS)
</t>
  </si>
  <si>
    <t xml:space="preserve">Atividade "Minhas raizes" : avaliar participação e desenvolvimento dos alunos nesta atividade.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</si>
</sst>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20"/>
      <color rgb="FF000000"/>
      <name val="Aptos Narrow"/>
      <family val="2"/>
    </font>
    <font>
      <sz val="22"/>
      <color rgb="FF000000"/>
      <name val="Aptos Narrow"/>
      <family val="2"/>
    </font>
    <font>
      <sz val="11"/>
      <color rgb="FF000000"/>
      <name val="Aptos Narrow"/>
      <family val="2"/>
    </font>
    <font>
      <b/>
      <sz val="18"/>
      <name val="Aptos Narrow"/>
      <family val="2"/>
      <scheme val="minor"/>
    </font>
    <font>
      <b/>
      <sz val="2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thin">
        <color rgb="FFFF0000"/>
      </right>
      <top style="medium">
        <color rgb="FFC00000"/>
      </top>
      <bottom style="thin">
        <color rgb="FFFF0000"/>
      </bottom>
      <diagonal/>
    </border>
    <border>
      <left style="thin">
        <color rgb="FFFF0000"/>
      </left>
      <right/>
      <top style="medium">
        <color rgb="FFC00000"/>
      </top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 style="medium">
        <color rgb="FFC00000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/>
      <bottom style="thin">
        <color rgb="FFFF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3" borderId="3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/>
    </xf>
    <xf numFmtId="0" fontId="4" fillId="3" borderId="2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vertical="center" wrapText="1"/>
    </xf>
    <xf numFmtId="0" fontId="10" fillId="3" borderId="7" xfId="0" applyFont="1" applyFill="1" applyBorder="1" applyAlignment="1">
      <alignment horizontal="left" wrapText="1"/>
    </xf>
    <xf numFmtId="0" fontId="11" fillId="5" borderId="7" xfId="0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4">
    <dxf>
      <numFmt numFmtId="19" formatCode="dd/mm/yyyy"/>
    </dxf>
    <dxf>
      <numFmt numFmtId="19" formatCode="dd/mm/yyyy"/>
    </dxf>
    <dxf>
      <numFmt numFmtId="27" formatCode="dd/mm/yyyy\ hh:mm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/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/>
        <bottom/>
        <vertical style="thin">
          <color rgb="FFC00000"/>
        </vertical>
        <horizontal style="thin">
          <color rgb="FFC0000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83127</xdr:colOff>
      <xdr:row>0</xdr:row>
      <xdr:rowOff>152400</xdr:rowOff>
    </xdr:from>
    <xdr:to>
      <xdr:col>3</xdr:col>
      <xdr:colOff>7301345</xdr:colOff>
      <xdr:row>0</xdr:row>
      <xdr:rowOff>1891341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F9F1E9BA-7944-4B8B-AE94-82C44C75562D}"/>
            </a:ext>
          </a:extLst>
        </xdr:cNvPr>
        <xdr:cNvGrpSpPr/>
      </xdr:nvGrpSpPr>
      <xdr:grpSpPr>
        <a:xfrm>
          <a:off x="83127" y="152400"/>
          <a:ext cx="20981027" cy="1738941"/>
          <a:chOff x="450149" y="1958"/>
          <a:chExt cx="18239959" cy="1666898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747BFD2F-F83B-EB5F-273C-341059F15463}"/>
              </a:ext>
            </a:extLst>
          </xdr:cNvPr>
          <xdr:cNvGrpSpPr/>
        </xdr:nvGrpSpPr>
        <xdr:grpSpPr>
          <a:xfrm>
            <a:off x="6017156" y="1958"/>
            <a:ext cx="12672952" cy="1593274"/>
            <a:chOff x="6017156" y="1958"/>
            <a:chExt cx="12672952" cy="1593274"/>
          </a:xfrm>
        </xdr:grpSpPr>
        <xdr:pic>
          <xdr:nvPicPr>
            <xdr:cNvPr id="12" name="Imagem 11" descr="Sesi Logo – Serviço Social da Indústria Logo – PNG e Vetor ...">
              <a:extLst>
                <a:ext uri="{FF2B5EF4-FFF2-40B4-BE49-F238E27FC236}">
                  <a16:creationId xmlns:a16="http://schemas.microsoft.com/office/drawing/2014/main" id="{607E051C-463C-C867-EBF0-D1C57A63B1B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282903" y="1958"/>
              <a:ext cx="3407205" cy="159327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06A8C405-8D1A-E266-6125-2DB10540BB2E}"/>
                </a:ext>
              </a:extLst>
            </xdr:cNvPr>
            <xdr:cNvGrpSpPr/>
          </xdr:nvGrpSpPr>
          <xdr:grpSpPr>
            <a:xfrm>
              <a:off x="6017156" y="1352576"/>
              <a:ext cx="12292445" cy="186901"/>
              <a:chOff x="4610304" y="3719946"/>
              <a:chExt cx="11385787" cy="186901"/>
            </a:xfrm>
          </xdr:grpSpPr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4DCCFC8A-67D3-5771-2E4D-C6B410D57999}"/>
                  </a:ext>
                </a:extLst>
              </xdr:cNvPr>
              <xdr:cNvSpPr/>
            </xdr:nvSpPr>
            <xdr:spPr>
              <a:xfrm>
                <a:off x="5073076" y="3834847"/>
                <a:ext cx="10920153" cy="72000"/>
              </a:xfrm>
              <a:prstGeom prst="rect">
                <a:avLst/>
              </a:prstGeom>
              <a:solidFill>
                <a:srgbClr val="646464"/>
              </a:solidFill>
              <a:ln>
                <a:solidFill>
                  <a:srgbClr val="646464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" name="Retângulo 14">
                <a:extLst>
                  <a:ext uri="{FF2B5EF4-FFF2-40B4-BE49-F238E27FC236}">
                    <a16:creationId xmlns:a16="http://schemas.microsoft.com/office/drawing/2014/main" id="{E7A5AACF-BB79-376C-8329-5999AA96E0AC}"/>
                  </a:ext>
                </a:extLst>
              </xdr:cNvPr>
              <xdr:cNvSpPr/>
            </xdr:nvSpPr>
            <xdr:spPr>
              <a:xfrm>
                <a:off x="4610304" y="3719946"/>
                <a:ext cx="11385787" cy="72000"/>
              </a:xfrm>
              <a:prstGeom prst="rect">
                <a:avLst/>
              </a:prstGeom>
              <a:solidFill>
                <a:srgbClr val="E30D1B"/>
              </a:solidFill>
              <a:ln>
                <a:solidFill>
                  <a:srgbClr val="E30D1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168AF5F2-13E1-AD66-974F-F5F618D176DE}"/>
              </a:ext>
            </a:extLst>
          </xdr:cNvPr>
          <xdr:cNvSpPr txBox="1"/>
        </xdr:nvSpPr>
        <xdr:spPr>
          <a:xfrm>
            <a:off x="450149" y="543355"/>
            <a:ext cx="4165146" cy="1125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6600" b="1"/>
              <a:t>Semanário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1120140</xdr:colOff>
          <xdr:row>4</xdr:row>
          <xdr:rowOff>533400</xdr:rowOff>
        </xdr:from>
        <xdr:to>
          <xdr:col>8</xdr:col>
          <xdr:colOff>381000</xdr:colOff>
          <xdr:row>4</xdr:row>
          <xdr:rowOff>1219200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</a:t>
              </a:r>
            </a:p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 semana atual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1885950</xdr:colOff>
      <xdr:row>7</xdr:row>
      <xdr:rowOff>457200</xdr:rowOff>
    </xdr:from>
    <xdr:ext cx="184731" cy="26456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5D92F4F2-0F26-269E-D624-3442E61B6F36}"/>
            </a:ext>
          </a:extLst>
        </xdr:cNvPr>
        <xdr:cNvSpPr txBox="1"/>
      </xdr:nvSpPr>
      <xdr:spPr>
        <a:xfrm>
          <a:off x="21717000" y="662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617220</xdr:rowOff>
        </xdr:from>
        <xdr:to>
          <xdr:col>6</xdr:col>
          <xdr:colOff>762000</xdr:colOff>
          <xdr:row>6</xdr:row>
          <xdr:rowOff>1684020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Aptos Narrow"/>
                </a:rPr>
                <a:t>Gerar PDF por Seleção de Turma e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518160</xdr:rowOff>
        </xdr:from>
        <xdr:to>
          <xdr:col>6</xdr:col>
          <xdr:colOff>594360</xdr:colOff>
          <xdr:row>4</xdr:row>
          <xdr:rowOff>1394460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 da proxima 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0</xdr:row>
          <xdr:rowOff>403860</xdr:rowOff>
        </xdr:from>
        <xdr:to>
          <xdr:col>6</xdr:col>
          <xdr:colOff>1630680</xdr:colOff>
          <xdr:row>0</xdr:row>
          <xdr:rowOff>1242060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Selecionar  Pasta para Salvar PDFs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connectionId="1" xr16:uid="{6F160840-EA86-43A1-B586-49DBD04D1BA6}" autoFormatId="16" applyNumberFormats="0" applyBorderFormats="0" applyFontFormats="0" applyPatternFormats="0" applyAlignmentFormats="0" applyWidthHeightFormats="0">
  <queryTableRefresh nextId="11">
    <queryTableFields count="10">
      <queryTableField id="1" name="Turma:" tableColumnId="1"/>
      <queryTableField id="2" name="NumeroSemana" tableColumnId="2"/>
      <queryTableField id="3" name="InicioSemana" tableColumnId="3"/>
      <queryTableField id="4" name="FimSemana" tableColumnId="4"/>
      <queryTableField id="5" name="TextoSemana" tableColumnId="5"/>
      <queryTableField id="6" name="Disciplina:" tableColumnId="6"/>
      <queryTableField id="7" name="Aula" tableColumnId="7"/>
      <queryTableField id="8" name="Casa" tableColumnId="8"/>
      <queryTableField id="10" dataBound="0" tableColumnId="12"/>
      <queryTableField id="9" name="Avaliativa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2" xr16:uid="{3398B379-D10E-44C5-9C43-ECDB925176F0}" autoFormatId="16" applyNumberFormats="0" applyBorderFormats="0" applyFontFormats="0" applyPatternFormats="0" applyAlignmentFormats="0" applyWidthHeightFormats="0">
  <queryTableRefresh nextId="18">
    <queryTableFields count="15">
      <queryTableField id="1" name="Criado por.title" tableColumnId="1"/>
      <queryTableField id="2" name="Professor:" tableColumnId="2"/>
      <queryTableField id="3" name="Disciplina:" tableColumnId="3"/>
      <queryTableField id="4" name="Turma:" tableColumnId="4"/>
      <queryTableField id="5" name="Atividade em sala:" tableColumnId="5"/>
      <queryTableField id="6" name="Tarefa para casa:" tableColumnId="6"/>
      <queryTableField id="7" name="Atividade avaliativa:" tableColumnId="7"/>
      <queryTableField id="8" name="Selecione a Semana" tableColumnId="8"/>
      <queryTableField id="14" name="Vivências: " tableColumnId="14"/>
      <queryTableField id="16" name="Criado em:" tableColumnId="15"/>
      <queryTableField id="9" name="ID" tableColumnId="9"/>
      <queryTableField id="10" name="NumeroSemana" tableColumnId="10"/>
      <queryTableField id="11" name="InicioSemana" tableColumnId="11"/>
      <queryTableField id="12" name="FimSemana" tableColumnId="12"/>
      <queryTableField id="13" name="TextoSemana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F5987F-9685-460A-AE6A-2B8E22C9CE89}" name="tblModelo" displayName="tblModelo" ref="A4:D19" totalsRowShown="0" headerRowDxfId="23" headerRowBorderDxfId="22" tableBorderDxfId="21" totalsRowBorderDxfId="20">
  <autoFilter ref="A4:D19" xr:uid="{0AF5987F-9685-460A-AE6A-2B8E22C9CE89}"/>
  <tableColumns count="4">
    <tableColumn id="1" xr3:uid="{66C08A1F-46AE-4ED2-834B-9F828FCFFC15}" name="Disciplinas" dataDxfId="19">
      <calculatedColumnFormula>tblDisciplinas[[#This Row],[Disciplinas]]</calculatedColumnFormula>
    </tableColumn>
    <tableColumn id="2" xr3:uid="{FE9A2AAF-38CA-47D5-ADBD-0CDBBB69381C}" name="Atividades em Sala de aula" dataDxfId="18">
      <calculatedColumnFormula>IFERROR(_xlfn.XLOOKUP($F$4&amp;" | "&amp;$G$4&amp;" | "&amp;tblModelo[[#This Row],[Disciplinas]],Resumo[Chave],Resumo[Aula]),"")</calculatedColumnFormula>
    </tableColumn>
    <tableColumn id="3" xr3:uid="{F77E328D-6B37-4321-B10F-488A07055ADB}" name="Tarefas para Casa" dataDxfId="17">
      <calculatedColumnFormula>IFERROR(_xlfn.XLOOKUP($F$4&amp;" | "&amp;$G$4&amp;" | "&amp;tblModelo[[#This Row],[Disciplinas]],Resumo[Chave],Resumo[Casa]),"")</calculatedColumnFormula>
    </tableColumn>
    <tableColumn id="4" xr3:uid="{2A95E06A-5C10-451F-9A6E-FA196AC1CB25}" name="Atividade Avaliativa" dataDxfId="16">
      <calculatedColumnFormula>IFERROR(_xlfn.XLOOKUP($F$4&amp;" | "&amp;$G$4&amp;" | "&amp;tblModelo[[#This Row],[Disciplinas]],Resumo[Chave],Resumo[Avaliativa]),"")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868AF9-C87F-4858-80D8-985D750748B6}" name="Resumo" displayName="Resumo" ref="A1:J156" tableType="queryTable" totalsRowShown="0">
  <autoFilter ref="A1:J156" xr:uid="{40868AF9-C87F-4858-80D8-985D750748B6}"/>
  <tableColumns count="10">
    <tableColumn id="1" xr3:uid="{587BBECA-8224-428D-964B-DD0041BE07FD}" uniqueName="1" name="Turma:" queryTableFieldId="1"/>
    <tableColumn id="2" xr3:uid="{B2BE5C4F-22E4-4FCE-86D6-640607E93123}" uniqueName="2" name="NumeroSemana" queryTableFieldId="2"/>
    <tableColumn id="3" xr3:uid="{0569DE45-B5EA-4AD5-B48F-4B9640FAAD5E}" uniqueName="3" name="InicioSemana" queryTableFieldId="3" dataDxfId="15"/>
    <tableColumn id="4" xr3:uid="{9E736D80-23A4-4B5C-8A40-8ED90DF63B46}" uniqueName="4" name="FimSemana" queryTableFieldId="4" dataDxfId="14"/>
    <tableColumn id="5" xr3:uid="{C4001A75-7CE8-4EED-87F5-79CEF11E522F}" uniqueName="5" name="TextoSemana" queryTableFieldId="5"/>
    <tableColumn id="6" xr3:uid="{1CED4EAB-4484-45FC-82D8-1F8EFAAD3C9B}" uniqueName="6" name="Disciplina:" queryTableFieldId="6"/>
    <tableColumn id="7" xr3:uid="{4723DBD8-DA85-4076-A114-BBD44872977C}" uniqueName="7" name="Aula" queryTableFieldId="7"/>
    <tableColumn id="8" xr3:uid="{DAA39F0D-4079-47BE-8FC9-C6DED2834554}" uniqueName="8" name="Casa" queryTableFieldId="8"/>
    <tableColumn id="12" xr3:uid="{E5568128-61E9-4C3E-99D5-0170A4C59A57}" uniqueName="12" name="Chave" queryTableFieldId="10">
      <calculatedColumnFormula>Resumo[[#This Row],[Turma:]] &amp; " | " &amp; Resumo[[#This Row],[TextoSemana]] &amp; " | " &amp; Resumo[[#This Row],[Disciplina:]]</calculatedColumnFormula>
    </tableColumn>
    <tableColumn id="9" xr3:uid="{97615B4E-F862-40F5-9C8F-8EF9A6105F82}" uniqueName="9" name="Avaliativa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BEA8BB-D687-420A-8A1A-84615484BC26}" name="Semanário_2026" displayName="Semanário_2026" ref="A1:O213" tableType="queryTable" totalsRowShown="0">
  <autoFilter ref="A1:O213" xr:uid="{65BEA8BB-D687-420A-8A1A-84615484BC26}"/>
  <tableColumns count="15">
    <tableColumn id="1" xr3:uid="{C80285F3-14ED-4B61-9041-BEB670EA0417}" uniqueName="1" name="Criado por.title" queryTableFieldId="1"/>
    <tableColumn id="2" xr3:uid="{70281C78-0BD6-44B3-9DBE-4FD86D54121A}" uniqueName="2" name="Professor:" queryTableFieldId="2"/>
    <tableColumn id="3" xr3:uid="{804634BE-578A-4748-88AD-4F63E327DEDB}" uniqueName="3" name="Disciplina:" queryTableFieldId="3"/>
    <tableColumn id="4" xr3:uid="{4D213824-64F4-4D7E-9C86-73608AB42CD3}" uniqueName="4" name="Turma:" queryTableFieldId="4"/>
    <tableColumn id="5" xr3:uid="{5B8B32E3-EBF3-4E2B-B6B8-981CE2AE9229}" uniqueName="5" name="Atividade em sala:" queryTableFieldId="5"/>
    <tableColumn id="6" xr3:uid="{F2ECC3E0-3144-40A5-9E57-E1FF3E9D7F86}" uniqueName="6" name="Tarefa para casa:" queryTableFieldId="6"/>
    <tableColumn id="7" xr3:uid="{C8FE91F7-4CE3-442A-856B-9D35EE36EBC0}" uniqueName="7" name="Atividade avaliativa:" queryTableFieldId="7"/>
    <tableColumn id="8" xr3:uid="{AD8D3C0C-0272-487A-9E30-E9E514B35EFD}" uniqueName="8" name="Selecione a Semana" queryTableFieldId="8"/>
    <tableColumn id="14" xr3:uid="{6E60BE63-531F-45BE-AC06-651BA91681F6}" uniqueName="14" name="Vivências: " queryTableFieldId="14" dataDxfId="3"/>
    <tableColumn id="15" xr3:uid="{1E1A81C4-FFFA-47C8-A3A0-9BB9D487F590}" uniqueName="15" name="Criado em:" queryTableFieldId="16" dataDxfId="2"/>
    <tableColumn id="9" xr3:uid="{27CC3356-5C06-4460-A061-3B87E2A5DF81}" uniqueName="9" name="ID" queryTableFieldId="9"/>
    <tableColumn id="10" xr3:uid="{05602576-D589-4F9E-8800-F620DAFFE560}" uniqueName="10" name="NumeroSemana" queryTableFieldId="10"/>
    <tableColumn id="11" xr3:uid="{79FA90A4-C010-43F1-845D-40031FA759C6}" uniqueName="11" name="InicioSemana" queryTableFieldId="11" dataDxfId="1"/>
    <tableColumn id="12" xr3:uid="{B90CB131-C135-4011-B4F8-1A1C6DD74BA4}" uniqueName="12" name="FimSemana" queryTableFieldId="12" dataDxfId="0"/>
    <tableColumn id="13" xr3:uid="{CFD2456E-0D68-48E5-A3D1-ECDF16FCAD6C}" uniqueName="13" name="TextoSemana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3914B7-C1AC-4070-8CBF-3B237382E496}" name="tblDisciplinas" displayName="tblDisciplinas" ref="E2:E19" totalsRowShown="0" dataDxfId="13">
  <autoFilter ref="E2:E19" xr:uid="{DB3914B7-C1AC-4070-8CBF-3B237382E496}"/>
  <tableColumns count="1">
    <tableColumn id="1" xr3:uid="{616039CA-8FE6-41A3-B239-256E7F235AA4}" name="Disciplinas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D72C8B-6C9A-4A7C-985A-BBDB89D158F4}" name="tblTurmas" displayName="tblTurmas" ref="G1:G33" totalsRowShown="0">
  <autoFilter ref="G1:G33" xr:uid="{B9D72C8B-6C9A-4A7C-985A-BBDB89D158F4}"/>
  <tableColumns count="1">
    <tableColumn id="1" xr3:uid="{8EAF0DB4-2637-4D75-BE72-8C152489CE67}" name="Selecionar Turma">
      <calculatedColumnFormula>padrao!A2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F9D23A-4F6C-400C-8C44-1D45C90368C0}" name="tblSemanas" displayName="tblSemanas" ref="H1:H53" totalsRowShown="0">
  <autoFilter ref="H1:H53" xr:uid="{A1F9D23A-4F6C-400C-8C44-1D45C90368C0}"/>
  <tableColumns count="1">
    <tableColumn id="1" xr3:uid="{B28B4803-4F9A-4E3F-A83D-DE24FA5604D9}" name="Selecionar Semana">
      <calculatedColumnFormula>padrao!C2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61E2C-76B0-4E4F-AFF7-412475F75302}" name="tblDisciplinasFundII" displayName="tblDisciplinasFundII" ref="E22:E32" totalsRowShown="0" dataDxfId="11">
  <autoFilter ref="E22:E32" xr:uid="{DF661E2C-76B0-4E4F-AFF7-412475F75302}"/>
  <tableColumns count="1">
    <tableColumn id="1" xr3:uid="{EFE45655-B6A0-4F81-9CAF-0B022DCC7627}" name="Disciplinas" dataDxf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93605D-108D-45AF-A9F5-E81453ABE6CC}" name="tblDisciplinas1EM" displayName="tblDisciplinas1EM" ref="E35:E50" totalsRowShown="0" dataDxfId="9">
  <autoFilter ref="E35:E50" xr:uid="{7F93605D-108D-45AF-A9F5-E81453ABE6CC}"/>
  <tableColumns count="1">
    <tableColumn id="1" xr3:uid="{629CCB22-6A59-4115-9739-9AE6B42DB966}" name="Disciplinas 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D270CA-19C1-40D3-91ED-36DA6058D3F7}" name="tblDisciplinas2EM" displayName="tblDisciplinas2EM" ref="E54:E66" totalsRowShown="0" dataDxfId="7">
  <autoFilter ref="E54:E66" xr:uid="{19D270CA-19C1-40D3-91ED-36DA6058D3F7}"/>
  <tableColumns count="1">
    <tableColumn id="1" xr3:uid="{85D615AC-76DB-4799-B514-E37CE5D19074}" name="Disciplinas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3DD26E-73E7-4733-B40F-96DB5B647497}" name="tblDisciplinas3EM" displayName="tblDisciplinas3EM" ref="E73:E81" totalsRowShown="0" dataDxfId="5">
  <autoFilter ref="E73:E81" xr:uid="{7E3DD26E-73E7-4733-B40F-96DB5B647497}"/>
  <tableColumns count="1">
    <tableColumn id="1" xr3:uid="{E703E604-28A2-4F71-ABA4-7A13FBF23408}" name="Disciplinas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74E2CC1-CF18-4D91-BBDA-92E8CA9167FE}" name="tblMapaDisciplinas" displayName="tblMapaDisciplinas" ref="G60:H92" totalsRowShown="0">
  <autoFilter ref="G60:H92" xr:uid="{474E2CC1-CF18-4D91-BBDA-92E8CA9167FE}"/>
  <tableColumns count="2">
    <tableColumn id="1" xr3:uid="{8D4BFB97-1FDD-494F-8E22-9C75A35EDA6C}" name="Turma"/>
    <tableColumn id="2" xr3:uid="{3EAD5F93-BCD0-409F-9FCB-6B638DD56395}" name="TabelaDisciplin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EF637F-868A-498B-9236-AD2B7692F101}" name="tblConfig" displayName="tblConfig" ref="J1:K2" totalsRowShown="0">
  <autoFilter ref="J1:K2" xr:uid="{44EF637F-868A-498B-9236-AD2B7692F101}"/>
  <tableColumns count="2">
    <tableColumn id="1" xr3:uid="{EAFE7775-F33A-48B7-BB16-112A2E35BEFB}" name="Chave"/>
    <tableColumn id="2" xr3:uid="{E49E5751-EE4B-4772-8EE8-934E72BBCFCB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F14F-3E13-43E9-8B1A-5ABB35B4B142}">
  <sheetPr codeName="Planilha1">
    <pageSetUpPr fitToPage="1"/>
  </sheetPr>
  <dimension ref="A1:J25"/>
  <sheetViews>
    <sheetView showGridLines="0" tabSelected="1" view="pageBreakPreview" topLeftCell="C3" zoomScale="70" zoomScaleNormal="40" zoomScaleSheetLayoutView="70" zoomScalePageLayoutView="25" workbookViewId="0">
      <selection activeCell="H8" sqref="H8"/>
    </sheetView>
  </sheetViews>
  <sheetFormatPr defaultRowHeight="14.4" x14ac:dyDescent="0.3"/>
  <cols>
    <col min="1" max="1" width="34.77734375" customWidth="1"/>
    <col min="2" max="4" width="90.77734375" customWidth="1"/>
    <col min="6" max="6" width="30.21875" bestFit="1" customWidth="1"/>
    <col min="7" max="7" width="42.21875" bestFit="1" customWidth="1"/>
  </cols>
  <sheetData>
    <row r="1" spans="1:10" s="2" customFormat="1" ht="157.94999999999999" customHeight="1" x14ac:dyDescent="0.3">
      <c r="A1" s="25" t="s">
        <v>4</v>
      </c>
      <c r="B1" s="25"/>
      <c r="C1" s="25"/>
      <c r="D1" s="25"/>
    </row>
    <row r="2" spans="1:10" ht="45" customHeight="1" x14ac:dyDescent="0.3">
      <c r="A2" s="18" t="str">
        <f>$F$4</f>
        <v>1º ano A - EM</v>
      </c>
      <c r="B2" s="26" t="str">
        <f>$G$4</f>
        <v>Semana 12 - 16/mar a 20/mar</v>
      </c>
      <c r="C2" s="26"/>
      <c r="D2" s="26"/>
    </row>
    <row r="3" spans="1:10" ht="157.19999999999999" customHeight="1" x14ac:dyDescent="0.3">
      <c r="A3" s="24" t="s">
        <v>239</v>
      </c>
      <c r="B3" s="27"/>
      <c r="C3" s="28"/>
      <c r="D3" s="29"/>
    </row>
    <row r="4" spans="1:10" ht="60" customHeight="1" x14ac:dyDescent="0.3">
      <c r="A4" s="19" t="s">
        <v>0</v>
      </c>
      <c r="B4" s="19" t="s">
        <v>1</v>
      </c>
      <c r="C4" s="19" t="s">
        <v>2</v>
      </c>
      <c r="D4" s="19" t="s">
        <v>3</v>
      </c>
      <c r="F4" s="12" t="s">
        <v>33</v>
      </c>
      <c r="G4" s="12" t="s">
        <v>131</v>
      </c>
    </row>
    <row r="5" spans="1:10" ht="160.05000000000001" customHeight="1" x14ac:dyDescent="0.3">
      <c r="A5" s="20" t="s">
        <v>15</v>
      </c>
      <c r="B5" s="21" t="str">
        <f>IFERROR(_xlfn.XLOOKUP($F$4&amp;" | "&amp;$G$4&amp;" | "&amp;tblModelo[[#This Row],[Disciplinas]],Resumo[Chave],Resumo[Aula]),"")</f>
        <v/>
      </c>
      <c r="C5" s="22" t="str">
        <f>IFERROR(_xlfn.XLOOKUP($F$4&amp;" | "&amp;$G$4&amp;" | "&amp;tblModelo[[#This Row],[Disciplinas]],Resumo[Chave],Resumo[Casa]),"")</f>
        <v/>
      </c>
      <c r="D5" s="22" t="str">
        <f>IFERROR(_xlfn.XLOOKUP($F$4&amp;" | "&amp;$G$4&amp;" | "&amp;tblModelo[[#This Row],[Disciplinas]],Resumo[Chave],Resumo[Avaliativa]),"")</f>
        <v/>
      </c>
    </row>
    <row r="6" spans="1:10" ht="160.05000000000001" customHeight="1" x14ac:dyDescent="0.3">
      <c r="A6" s="20" t="s">
        <v>6</v>
      </c>
      <c r="B6" s="21" t="str">
        <f>IFERROR(_xlfn.XLOOKUP($F$4&amp;" | "&amp;$G$4&amp;" | "&amp;tblModelo[[#This Row],[Disciplinas]],Resumo[Chave],Resumo[Aula]),"")</f>
        <v/>
      </c>
      <c r="C6" s="22" t="str">
        <f>IFERROR(_xlfn.XLOOKUP($F$4&amp;" | "&amp;$G$4&amp;" | "&amp;tblModelo[[#This Row],[Disciplinas]],Resumo[Chave],Resumo[Casa]),"")</f>
        <v/>
      </c>
      <c r="D6" s="22" t="str">
        <f>IFERROR(_xlfn.XLOOKUP($F$4&amp;" | "&amp;$G$4&amp;" | "&amp;tblModelo[[#This Row],[Disciplinas]],Resumo[Chave],Resumo[Avaliativa]),"")</f>
        <v/>
      </c>
    </row>
    <row r="7" spans="1:10" ht="160.05000000000001" customHeight="1" x14ac:dyDescent="0.3">
      <c r="A7" s="20" t="s">
        <v>7</v>
      </c>
      <c r="B7" s="21" t="str">
        <f>IFERROR(_xlfn.XLOOKUP($F$4&amp;" | "&amp;$G$4&amp;" | "&amp;tblModelo[[#This Row],[Disciplinas]],Resumo[Chave],Resumo[Aula]),"")</f>
        <v/>
      </c>
      <c r="C7" s="22" t="str">
        <f>IFERROR(_xlfn.XLOOKUP($F$4&amp;" | "&amp;$G$4&amp;" | "&amp;tblModelo[[#This Row],[Disciplinas]],Resumo[Chave],Resumo[Casa]),"")</f>
        <v/>
      </c>
      <c r="D7" s="22" t="str">
        <f>IFERROR(_xlfn.XLOOKUP($F$4&amp;" | "&amp;$G$4&amp;" | "&amp;tblModelo[[#This Row],[Disciplinas]],Resumo[Chave],Resumo[Avaliativa]),"")</f>
        <v/>
      </c>
    </row>
    <row r="8" spans="1:10" ht="160.05000000000001" customHeight="1" x14ac:dyDescent="0.3">
      <c r="A8" s="20" t="s">
        <v>8</v>
      </c>
      <c r="B8" s="21" t="str">
        <f>IFERROR(_xlfn.XLOOKUP($F$4&amp;" | "&amp;$G$4&amp;" | "&amp;tblModelo[[#This Row],[Disciplinas]],Resumo[Chave],Resumo[Aula]),"")</f>
        <v/>
      </c>
      <c r="C8" s="22" t="str">
        <f>IFERROR(_xlfn.XLOOKUP($F$4&amp;" | "&amp;$G$4&amp;" | "&amp;tblModelo[[#This Row],[Disciplinas]],Resumo[Chave],Resumo[Casa]),"")</f>
        <v/>
      </c>
      <c r="D8" s="22" t="str">
        <f>IFERROR(_xlfn.XLOOKUP($F$4&amp;" | "&amp;$G$4&amp;" | "&amp;tblModelo[[#This Row],[Disciplinas]],Resumo[Chave],Resumo[Avaliativa]),"")</f>
        <v/>
      </c>
    </row>
    <row r="9" spans="1:10" ht="160.05000000000001" customHeight="1" x14ac:dyDescent="0.3">
      <c r="A9" s="20" t="s">
        <v>9</v>
      </c>
      <c r="B9" s="21" t="str">
        <f>IFERROR(_xlfn.XLOOKUP($F$4&amp;" | "&amp;$G$4&amp;" | "&amp;tblModelo[[#This Row],[Disciplinas]],Resumo[Chave],Resumo[Aula]),"")</f>
        <v/>
      </c>
      <c r="C9" s="22" t="str">
        <f>IFERROR(_xlfn.XLOOKUP($F$4&amp;" | "&amp;$G$4&amp;" | "&amp;tblModelo[[#This Row],[Disciplinas]],Resumo[Chave],Resumo[Casa]),"")</f>
        <v/>
      </c>
      <c r="D9" s="22" t="str">
        <f>IFERROR(_xlfn.XLOOKUP($F$4&amp;" | "&amp;$G$4&amp;" | "&amp;tblModelo[[#This Row],[Disciplinas]],Resumo[Chave],Resumo[Avaliativa]),"")</f>
        <v/>
      </c>
    </row>
    <row r="10" spans="1:10" ht="160.05000000000001" customHeight="1" x14ac:dyDescent="0.3">
      <c r="A10" s="20" t="s">
        <v>10</v>
      </c>
      <c r="B10" s="21" t="str">
        <f>IFERROR(_xlfn.XLOOKUP($F$4&amp;" | "&amp;$G$4&amp;" | "&amp;tblModelo[[#This Row],[Disciplinas]],Resumo[Chave],Resumo[Aula]),"")</f>
        <v/>
      </c>
      <c r="C10" s="22" t="str">
        <f>IFERROR(_xlfn.XLOOKUP($F$4&amp;" | "&amp;$G$4&amp;" | "&amp;tblModelo[[#This Row],[Disciplinas]],Resumo[Chave],Resumo[Casa]),"")</f>
        <v/>
      </c>
      <c r="D10" s="22" t="str">
        <f>IFERROR(_xlfn.XLOOKUP($F$4&amp;" | "&amp;$G$4&amp;" | "&amp;tblModelo[[#This Row],[Disciplinas]],Resumo[Chave],Resumo[Avaliativa]),"")</f>
        <v/>
      </c>
    </row>
    <row r="11" spans="1:10" ht="160.05000000000001" customHeight="1" x14ac:dyDescent="0.3">
      <c r="A11" s="20" t="s">
        <v>11</v>
      </c>
      <c r="B11" s="21" t="str">
        <f>IFERROR(_xlfn.XLOOKUP($F$4&amp;" | "&amp;$G$4&amp;" | "&amp;tblModelo[[#This Row],[Disciplinas]],Resumo[Chave],Resumo[Aula]),"")</f>
        <v/>
      </c>
      <c r="C11" s="22" t="str">
        <f>IFERROR(_xlfn.XLOOKUP($F$4&amp;" | "&amp;$G$4&amp;" | "&amp;tblModelo[[#This Row],[Disciplinas]],Resumo[Chave],Resumo[Casa]),"")</f>
        <v/>
      </c>
      <c r="D11" s="22" t="str">
        <f>IFERROR(_xlfn.XLOOKUP($F$4&amp;" | "&amp;$G$4&amp;" | "&amp;tblModelo[[#This Row],[Disciplinas]],Resumo[Chave],Resumo[Avaliativa]),"")</f>
        <v/>
      </c>
    </row>
    <row r="12" spans="1:10" ht="160.05000000000001" customHeight="1" x14ac:dyDescent="0.3">
      <c r="A12" s="20" t="s">
        <v>12</v>
      </c>
      <c r="B12" s="21" t="str">
        <f>IFERROR(_xlfn.XLOOKUP($F$4&amp;" | "&amp;$G$4&amp;" | "&amp;tblModelo[[#This Row],[Disciplinas]],Resumo[Chave],Resumo[Aula]),"")</f>
        <v/>
      </c>
      <c r="C12" s="22" t="str">
        <f>IFERROR(_xlfn.XLOOKUP($F$4&amp;" | "&amp;$G$4&amp;" | "&amp;tblModelo[[#This Row],[Disciplinas]],Resumo[Chave],Resumo[Casa]),"")</f>
        <v/>
      </c>
      <c r="D12" s="22" t="str">
        <f>IFERROR(_xlfn.XLOOKUP($F$4&amp;" | "&amp;$G$4&amp;" | "&amp;tblModelo[[#This Row],[Disciplinas]],Resumo[Chave],Resumo[Avaliativa]),"")</f>
        <v/>
      </c>
    </row>
    <row r="13" spans="1:10" ht="160.05000000000001" customHeight="1" x14ac:dyDescent="0.45">
      <c r="A13" s="20" t="s">
        <v>65</v>
      </c>
      <c r="B13" s="23" t="str">
        <f>IFERROR(_xlfn.XLOOKUP($F$4&amp;" | "&amp;$G$4&amp;" | "&amp;tblModelo[[#This Row],[Disciplinas]],Resumo[Chave],Resumo[Aula]),"")</f>
        <v/>
      </c>
      <c r="C13" s="22" t="str">
        <f>IFERROR(_xlfn.XLOOKUP($F$4&amp;" | "&amp;$G$4&amp;" | "&amp;tblModelo[[#This Row],[Disciplinas]],Resumo[Chave],Resumo[Casa]),"")</f>
        <v/>
      </c>
      <c r="D13" s="22" t="str">
        <f>IFERROR(_xlfn.XLOOKUP($F$4&amp;" | "&amp;$G$4&amp;" | "&amp;tblModelo[[#This Row],[Disciplinas]],Resumo[Chave],Resumo[Avaliativa]),"")</f>
        <v/>
      </c>
    </row>
    <row r="14" spans="1:10" ht="160.05000000000001" customHeight="1" x14ac:dyDescent="0.45">
      <c r="A14" s="20" t="s">
        <v>66</v>
      </c>
      <c r="B14" s="23" t="str">
        <f>IFERROR(_xlfn.XLOOKUP($F$4&amp;" | "&amp;$G$4&amp;" | "&amp;tblModelo[[#This Row],[Disciplinas]],Resumo[Chave],Resumo[Aula]),"")</f>
        <v/>
      </c>
      <c r="C14" s="22" t="str">
        <f>IFERROR(_xlfn.XLOOKUP($F$4&amp;" | "&amp;$G$4&amp;" | "&amp;tblModelo[[#This Row],[Disciplinas]],Resumo[Chave],Resumo[Casa]),"")</f>
        <v/>
      </c>
      <c r="D14" s="22" t="str">
        <f>IFERROR(_xlfn.XLOOKUP($F$4&amp;" | "&amp;$G$4&amp;" | "&amp;tblModelo[[#This Row],[Disciplinas]],Resumo[Chave],Resumo[Avaliativa]),"")</f>
        <v/>
      </c>
    </row>
    <row r="15" spans="1:10" ht="160.05000000000001" customHeight="1" x14ac:dyDescent="0.45">
      <c r="A15" s="20" t="s">
        <v>67</v>
      </c>
      <c r="B15" s="23" t="str">
        <f>IFERROR(_xlfn.XLOOKUP($F$4&amp;" | "&amp;$G$4&amp;" | "&amp;tblModelo[[#This Row],[Disciplinas]],Resumo[Chave],Resumo[Aula]),"")</f>
        <v/>
      </c>
      <c r="C15" s="22" t="str">
        <f>IFERROR(_xlfn.XLOOKUP($F$4&amp;" | "&amp;$G$4&amp;" | "&amp;tblModelo[[#This Row],[Disciplinas]],Resumo[Chave],Resumo[Casa]),"")</f>
        <v/>
      </c>
      <c r="D15" s="22" t="str">
        <f>IFERROR(_xlfn.XLOOKUP($F$4&amp;" | "&amp;$G$4&amp;" | "&amp;tblModelo[[#This Row],[Disciplinas]],Resumo[Chave],Resumo[Avaliativa]),"")</f>
        <v/>
      </c>
      <c r="J15" t="s">
        <v>4</v>
      </c>
    </row>
    <row r="16" spans="1:10" s="11" customFormat="1" ht="160.05000000000001" customHeight="1" x14ac:dyDescent="0.45">
      <c r="A16" s="20" t="s">
        <v>68</v>
      </c>
      <c r="B16" s="23" t="str">
        <f>IFERROR(_xlfn.XLOOKUP($F$4&amp;" | "&amp;$G$4&amp;" | "&amp;tblModelo[[#This Row],[Disciplinas]],Resumo[Chave],Resumo[Aula]),"")</f>
        <v/>
      </c>
      <c r="C16" s="22" t="str">
        <f>IFERROR(_xlfn.XLOOKUP($F$4&amp;" | "&amp;$G$4&amp;" | "&amp;tblModelo[[#This Row],[Disciplinas]],Resumo[Chave],Resumo[Casa]),"")</f>
        <v/>
      </c>
      <c r="D16" s="22" t="str">
        <f>IFERROR(_xlfn.XLOOKUP($F$4&amp;" | "&amp;$G$4&amp;" | "&amp;tblModelo[[#This Row],[Disciplinas]],Resumo[Chave],Resumo[Avaliativa]),"")</f>
        <v/>
      </c>
    </row>
    <row r="17" spans="1:4" ht="160.05000000000001" customHeight="1" x14ac:dyDescent="0.45">
      <c r="A17" s="20" t="s">
        <v>69</v>
      </c>
      <c r="B17" s="23" t="str">
        <f>IFERROR(_xlfn.XLOOKUP($F$4&amp;" | "&amp;$G$4&amp;" | "&amp;tblModelo[[#This Row],[Disciplinas]],Resumo[Chave],Resumo[Aula]),"")</f>
        <v/>
      </c>
      <c r="C17" s="22" t="str">
        <f>IFERROR(_xlfn.XLOOKUP($F$4&amp;" | "&amp;$G$4&amp;" | "&amp;tblModelo[[#This Row],[Disciplinas]],Resumo[Chave],Resumo[Casa]),"")</f>
        <v/>
      </c>
      <c r="D17" s="22" t="str">
        <f>IFERROR(_xlfn.XLOOKUP($F$4&amp;" | "&amp;$G$4&amp;" | "&amp;tblModelo[[#This Row],[Disciplinas]],Resumo[Chave],Resumo[Avaliativa]),"")</f>
        <v/>
      </c>
    </row>
    <row r="18" spans="1:4" ht="160.05000000000001" customHeight="1" x14ac:dyDescent="0.45">
      <c r="A18" s="20" t="s">
        <v>32</v>
      </c>
      <c r="B18" s="23" t="str">
        <f>IFERROR(_xlfn.XLOOKUP($F$4&amp;" | "&amp;$G$4&amp;" | "&amp;tblModelo[[#This Row],[Disciplinas]],Resumo[Chave],Resumo[Aula]),"")</f>
        <v/>
      </c>
      <c r="C18" s="22" t="str">
        <f>IFERROR(_xlfn.XLOOKUP($F$4&amp;" | "&amp;$G$4&amp;" | "&amp;tblModelo[[#This Row],[Disciplinas]],Resumo[Chave],Resumo[Casa]),"")</f>
        <v/>
      </c>
      <c r="D18" s="22" t="str">
        <f>IFERROR(_xlfn.XLOOKUP($F$4&amp;" | "&amp;$G$4&amp;" | "&amp;tblModelo[[#This Row],[Disciplinas]],Resumo[Chave],Resumo[Avaliativa]),"")</f>
        <v/>
      </c>
    </row>
    <row r="19" spans="1:4" ht="160.05000000000001" customHeight="1" x14ac:dyDescent="0.45">
      <c r="A19" s="20" t="s">
        <v>70</v>
      </c>
      <c r="B19" s="23" t="str">
        <f>IFERROR(_xlfn.XLOOKUP($F$4&amp;" | "&amp;$G$4&amp;" | "&amp;tblModelo[[#This Row],[Disciplinas]],Resumo[Chave],Resumo[Aula]),"")</f>
        <v/>
      </c>
      <c r="C19" s="22" t="str">
        <f>IFERROR(_xlfn.XLOOKUP($F$4&amp;" | "&amp;$G$4&amp;" | "&amp;tblModelo[[#This Row],[Disciplinas]],Resumo[Chave],Resumo[Casa]),"")</f>
        <v/>
      </c>
      <c r="D19" s="22" t="str">
        <f>IFERROR(_xlfn.XLOOKUP($F$4&amp;" | "&amp;$G$4&amp;" | "&amp;tblModelo[[#This Row],[Disciplinas]],Resumo[Chave],Resumo[Avaliativa]),"")</f>
        <v/>
      </c>
    </row>
    <row r="20" spans="1:4" ht="150" customHeight="1" thickBot="1" x14ac:dyDescent="0.35">
      <c r="A20" s="14" t="s">
        <v>69</v>
      </c>
      <c r="B20" s="15" t="str">
        <f>IFERROR(_xlfn.XLOOKUP($F$4&amp;"|"&amp;$G$4&amp;"|"&amp;tblModelo[[#This Row],[Disciplinas]],Resumo[Chave],Resumo[Aula]),"")</f>
        <v/>
      </c>
      <c r="C20" s="16" t="str">
        <f>IFERROR(_xlfn.XLOOKUP($F$4&amp;"|"&amp;$G$4&amp;"|"&amp;tblModelo[[#This Row],[Disciplinas]],Resumo[Chave],Resumo[Casa]),"")</f>
        <v/>
      </c>
      <c r="D20" s="17" t="str">
        <f>IFERROR(_xlfn.XLOOKUP($F$4&amp;"|"&amp;$G$4&amp;"|"&amp;tblModelo[[#This Row],[Disciplinas]],Resumo[Chave],Resumo[Avaliativa]),"")</f>
        <v/>
      </c>
    </row>
    <row r="21" spans="1:4" ht="58.2" thickBot="1" x14ac:dyDescent="0.35">
      <c r="A21" s="7" t="s">
        <v>32</v>
      </c>
      <c r="B21" s="13" t="str">
        <f>IFERROR(_xlfn.XLOOKUP($F$4&amp;"|"&amp;$G$4&amp;"|"&amp;tblModelo[[#This Row],[Disciplinas]],Resumo[Chave],Resumo[Aula]),"")</f>
        <v/>
      </c>
      <c r="C21" s="5" t="str">
        <f>IFERROR(_xlfn.XLOOKUP($F$4&amp;"|"&amp;$G$4&amp;"|"&amp;tblModelo[[#This Row],[Disciplinas]],Resumo[Chave],Resumo[Casa]),"")</f>
        <v/>
      </c>
      <c r="D21" s="6" t="str">
        <f>IFERROR(_xlfn.XLOOKUP($F$4&amp;"|"&amp;$G$4&amp;"|"&amp;tblModelo[[#This Row],[Disciplinas]],Resumo[Chave],Resumo[Avaliativa]),"")</f>
        <v/>
      </c>
    </row>
    <row r="22" spans="1:4" ht="57.6" x14ac:dyDescent="0.3">
      <c r="A22" s="8" t="s">
        <v>70</v>
      </c>
      <c r="B22" s="13" t="str">
        <f>IFERROR(_xlfn.XLOOKUP($F$4&amp;"|"&amp;$G$4&amp;"|"&amp;tblModelo[[#This Row],[Disciplinas]],Resumo[Chave],Resumo[Aula]),"")</f>
        <v/>
      </c>
      <c r="C22" s="5" t="str">
        <f>IFERROR(_xlfn.XLOOKUP($F$4&amp;"|"&amp;$G$4&amp;"|"&amp;tblModelo[[#This Row],[Disciplinas]],Resumo[Chave],Resumo[Casa]),"")</f>
        <v/>
      </c>
      <c r="D22" s="6" t="str">
        <f>IFERROR(_xlfn.XLOOKUP($F$4&amp;"|"&amp;$G$4&amp;"|"&amp;tblModelo[[#This Row],[Disciplinas]],Resumo[Chave],Resumo[Avaliativa]),"")</f>
        <v/>
      </c>
    </row>
    <row r="23" spans="1:4" ht="28.8" x14ac:dyDescent="0.3">
      <c r="A23" s="9"/>
      <c r="B23" s="10"/>
      <c r="C23" s="11"/>
    </row>
    <row r="24" spans="1:4" x14ac:dyDescent="0.3">
      <c r="C24" s="11"/>
    </row>
    <row r="25" spans="1:4" x14ac:dyDescent="0.3">
      <c r="C25" s="1"/>
    </row>
  </sheetData>
  <mergeCells count="3">
    <mergeCell ref="A1:D1"/>
    <mergeCell ref="B2:D2"/>
    <mergeCell ref="B3:D3"/>
  </mergeCells>
  <printOptions horizontalCentered="1"/>
  <pageMargins left="0.3" right="0.3" top="0.4" bottom="0.4" header="3.937007874015748E-2" footer="3.937007874015748E-2"/>
  <pageSetup paperSize="9" scale="46" fitToHeight="0" orientation="landscape" r:id="rId1"/>
  <headerFooter>
    <oddHeader>&amp;RPágina &amp;P de &amp;N</oddHeader>
  </headerFooter>
  <rowBreaks count="2" manualBreakCount="2">
    <brk id="8" max="3" man="1"/>
    <brk id="14" max="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GerarPDF_TurmaSemana_Selecionadas">
                <anchor moveWithCells="1">
                  <from>
                    <xdr:col>5</xdr:col>
                    <xdr:colOff>38100</xdr:colOff>
                    <xdr:row>6</xdr:row>
                    <xdr:rowOff>617220</xdr:rowOff>
                  </from>
                  <to>
                    <xdr:col>6</xdr:col>
                    <xdr:colOff>762000</xdr:colOff>
                    <xdr:row>6</xdr:row>
                    <xdr:rowOff>1684020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Button 42">
              <controlPr defaultSize="0" print="0" autoFill="0" autoPict="0" macro="[0]!SelecionarPastaPDFs">
                <anchor moveWithCells="1">
                  <from>
                    <xdr:col>5</xdr:col>
                    <xdr:colOff>129540</xdr:colOff>
                    <xdr:row>0</xdr:row>
                    <xdr:rowOff>403860</xdr:rowOff>
                  </from>
                  <to>
                    <xdr:col>6</xdr:col>
                    <xdr:colOff>1630680</xdr:colOff>
                    <xdr:row>0</xdr:row>
                    <xdr:rowOff>1242060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GerarPDFs_SemanaAtual_ComSubpasta">
                <anchor moveWithCells="1">
                  <from>
                    <xdr:col>6</xdr:col>
                    <xdr:colOff>1120140</xdr:colOff>
                    <xdr:row>4</xdr:row>
                    <xdr:rowOff>533400</xdr:rowOff>
                  </from>
                  <to>
                    <xdr:col>8</xdr:col>
                    <xdr:colOff>381000</xdr:colOff>
                    <xdr:row>4</xdr:row>
                    <xdr:rowOff>1219200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" name="Button 40">
              <controlPr defaultSize="0" print="0" autoFill="0" autoPict="0" macro="[0]!GerarPDFs_ProximaSemana_ComSubpasta">
                <anchor moveWithCells="1" sizeWithCells="1">
                  <from>
                    <xdr:col>5</xdr:col>
                    <xdr:colOff>0</xdr:colOff>
                    <xdr:row>4</xdr:row>
                    <xdr:rowOff>518160</xdr:rowOff>
                  </from>
                  <to>
                    <xdr:col>6</xdr:col>
                    <xdr:colOff>594360</xdr:colOff>
                    <xdr:row>4</xdr:row>
                    <xdr:rowOff>1394460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0241F6-02B1-4E98-8EC3-7B00BDD91C78}">
          <x14:formula1>
            <xm:f>padrao!$A$1:$A$33</xm:f>
          </x14:formula1>
          <xm:sqref>F4</xm:sqref>
        </x14:dataValidation>
        <x14:dataValidation type="list" allowBlank="1" showInputMessage="1" showErrorMessage="1" xr:uid="{BD96A41C-AB98-438C-87E4-0D9C3042A126}">
          <x14:formula1>
            <xm:f>padrao!$C$1:$C$47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D514-4B64-4A50-A79D-E6B77612582F}">
  <sheetPr codeName="Planilha2"/>
  <dimension ref="A1:J156"/>
  <sheetViews>
    <sheetView zoomScale="55" zoomScaleNormal="55" workbookViewId="0">
      <selection activeCell="E52" sqref="E52"/>
    </sheetView>
  </sheetViews>
  <sheetFormatPr defaultRowHeight="14.4" x14ac:dyDescent="0.3"/>
  <cols>
    <col min="1" max="1" width="13.6640625" bestFit="1" customWidth="1"/>
    <col min="2" max="2" width="23.5546875" bestFit="1" customWidth="1"/>
    <col min="3" max="3" width="21.109375" bestFit="1" customWidth="1"/>
    <col min="4" max="4" width="18.6640625" bestFit="1" customWidth="1"/>
    <col min="5" max="5" width="29" bestFit="1" customWidth="1"/>
    <col min="6" max="6" width="26.77734375" bestFit="1" customWidth="1"/>
    <col min="7" max="8" width="80.88671875" bestFit="1" customWidth="1"/>
    <col min="9" max="9" width="67.33203125" bestFit="1" customWidth="1"/>
    <col min="10" max="10" width="80.88671875" bestFit="1" customWidth="1"/>
  </cols>
  <sheetData>
    <row r="1" spans="1:10" x14ac:dyDescent="0.3">
      <c r="A1" t="s">
        <v>18</v>
      </c>
      <c r="B1" t="s">
        <v>57</v>
      </c>
      <c r="C1" t="s">
        <v>58</v>
      </c>
      <c r="D1" t="s">
        <v>59</v>
      </c>
      <c r="E1" t="s">
        <v>60</v>
      </c>
      <c r="F1" t="s">
        <v>5</v>
      </c>
      <c r="G1" t="s">
        <v>61</v>
      </c>
      <c r="H1" t="s">
        <v>62</v>
      </c>
      <c r="I1" t="s">
        <v>64</v>
      </c>
      <c r="J1" t="s">
        <v>63</v>
      </c>
    </row>
    <row r="2" spans="1:10" x14ac:dyDescent="0.3">
      <c r="A2" t="s">
        <v>24</v>
      </c>
      <c r="B2">
        <v>2</v>
      </c>
      <c r="C2" s="3">
        <v>46027</v>
      </c>
      <c r="D2" s="3">
        <v>46031</v>
      </c>
      <c r="E2" t="s">
        <v>82</v>
      </c>
      <c r="F2" t="s">
        <v>6</v>
      </c>
      <c r="G2" t="s">
        <v>83</v>
      </c>
      <c r="H2" t="s">
        <v>84</v>
      </c>
      <c r="I2" t="str">
        <f>Resumo[[#This Row],[Turma:]] &amp; " | " &amp; Resumo[[#This Row],[TextoSemana]] &amp; " | " &amp; Resumo[[#This Row],[Disciplina:]]</f>
        <v>6º ano A | Semana 2 - 05/jan a 09/jan | Língua Portuguesa</v>
      </c>
      <c r="J2" t="s">
        <v>85</v>
      </c>
    </row>
    <row r="3" spans="1:10" x14ac:dyDescent="0.3">
      <c r="A3" t="s">
        <v>25</v>
      </c>
      <c r="B3">
        <v>2</v>
      </c>
      <c r="C3" s="3">
        <v>46027</v>
      </c>
      <c r="D3" s="3">
        <v>46031</v>
      </c>
      <c r="E3" t="s">
        <v>82</v>
      </c>
      <c r="F3" t="s">
        <v>6</v>
      </c>
      <c r="G3" t="s">
        <v>83</v>
      </c>
      <c r="H3" t="s">
        <v>84</v>
      </c>
      <c r="I3" t="str">
        <f>Resumo[[#This Row],[Turma:]] &amp; " | " &amp; Resumo[[#This Row],[TextoSemana]] &amp; " | " &amp; Resumo[[#This Row],[Disciplina:]]</f>
        <v>6º ano B | Semana 2 - 05/jan a 09/jan | Língua Portuguesa</v>
      </c>
      <c r="J3" t="s">
        <v>85</v>
      </c>
    </row>
    <row r="4" spans="1:10" x14ac:dyDescent="0.3">
      <c r="A4" t="s">
        <v>26</v>
      </c>
      <c r="B4">
        <v>2</v>
      </c>
      <c r="C4" s="3">
        <v>46027</v>
      </c>
      <c r="D4" s="3">
        <v>46031</v>
      </c>
      <c r="E4" t="s">
        <v>82</v>
      </c>
      <c r="F4" t="s">
        <v>6</v>
      </c>
      <c r="G4" t="s">
        <v>83</v>
      </c>
      <c r="H4" t="s">
        <v>84</v>
      </c>
      <c r="I4" t="str">
        <f>Resumo[[#This Row],[Turma:]] &amp; " | " &amp; Resumo[[#This Row],[TextoSemana]] &amp; " | " &amp; Resumo[[#This Row],[Disciplina:]]</f>
        <v>6º ano C | Semana 2 - 05/jan a 09/jan | Língua Portuguesa</v>
      </c>
      <c r="J4" t="s">
        <v>85</v>
      </c>
    </row>
    <row r="5" spans="1:10" x14ac:dyDescent="0.3">
      <c r="A5" t="s">
        <v>26</v>
      </c>
      <c r="B5">
        <v>2</v>
      </c>
      <c r="C5" s="3">
        <v>46027</v>
      </c>
      <c r="D5" s="3">
        <v>46031</v>
      </c>
      <c r="E5" t="s">
        <v>82</v>
      </c>
      <c r="F5" t="s">
        <v>13</v>
      </c>
      <c r="G5" t="s">
        <v>89</v>
      </c>
      <c r="H5" t="s">
        <v>90</v>
      </c>
      <c r="I5" t="str">
        <f>Resumo[[#This Row],[Turma:]] &amp; " | " &amp; Resumo[[#This Row],[TextoSemana]] &amp; " | " &amp; Resumo[[#This Row],[Disciplina:]]</f>
        <v>6º ano C | Semana 2 - 05/jan a 09/jan | Ciências da Natureza</v>
      </c>
      <c r="J5" t="s">
        <v>91</v>
      </c>
    </row>
    <row r="6" spans="1:10" x14ac:dyDescent="0.3">
      <c r="A6" t="s">
        <v>38</v>
      </c>
      <c r="B6">
        <v>8</v>
      </c>
      <c r="C6" s="3">
        <v>46069</v>
      </c>
      <c r="D6" s="3">
        <v>46073</v>
      </c>
      <c r="E6" t="s">
        <v>94</v>
      </c>
      <c r="F6" t="s">
        <v>12</v>
      </c>
      <c r="G6" t="s">
        <v>95</v>
      </c>
      <c r="H6" t="s">
        <v>96</v>
      </c>
      <c r="I6" t="str">
        <f>Resumo[[#This Row],[Turma:]] &amp; " | " &amp; Resumo[[#This Row],[TextoSemana]] &amp; " | " &amp; Resumo[[#This Row],[Disciplina:]]</f>
        <v>8º ano A | Semana 8 - 16/fev a 20/fev | Matemática</v>
      </c>
      <c r="J6" t="s">
        <v>97</v>
      </c>
    </row>
    <row r="7" spans="1:10" x14ac:dyDescent="0.3">
      <c r="A7" t="s">
        <v>39</v>
      </c>
      <c r="B7">
        <v>8</v>
      </c>
      <c r="C7" s="3">
        <v>46069</v>
      </c>
      <c r="D7" s="3">
        <v>46073</v>
      </c>
      <c r="E7" t="s">
        <v>94</v>
      </c>
      <c r="F7" t="s">
        <v>12</v>
      </c>
      <c r="G7" t="s">
        <v>95</v>
      </c>
      <c r="H7" t="s">
        <v>96</v>
      </c>
      <c r="I7" t="str">
        <f>Resumo[[#This Row],[Turma:]] &amp; " | " &amp; Resumo[[#This Row],[TextoSemana]] &amp; " | " &amp; Resumo[[#This Row],[Disciplina:]]</f>
        <v>8º ano B | Semana 8 - 16/fev a 20/fev | Matemática</v>
      </c>
      <c r="J7" t="s">
        <v>97</v>
      </c>
    </row>
    <row r="8" spans="1:10" x14ac:dyDescent="0.3">
      <c r="A8" t="s">
        <v>40</v>
      </c>
      <c r="B8">
        <v>8</v>
      </c>
      <c r="C8" s="3">
        <v>46069</v>
      </c>
      <c r="D8" s="3">
        <v>46073</v>
      </c>
      <c r="E8" t="s">
        <v>94</v>
      </c>
      <c r="F8" t="s">
        <v>12</v>
      </c>
      <c r="G8" t="s">
        <v>95</v>
      </c>
      <c r="H8" t="s">
        <v>96</v>
      </c>
      <c r="I8" t="str">
        <f>Resumo[[#This Row],[Turma:]] &amp; " | " &amp; Resumo[[#This Row],[TextoSemana]] &amp; " | " &amp; Resumo[[#This Row],[Disciplina:]]</f>
        <v>8º ano C | Semana 8 - 16/fev a 20/fev | Matemática</v>
      </c>
      <c r="J8" t="s">
        <v>97</v>
      </c>
    </row>
    <row r="9" spans="1:10" x14ac:dyDescent="0.3">
      <c r="A9" t="s">
        <v>41</v>
      </c>
      <c r="B9">
        <v>8</v>
      </c>
      <c r="C9" s="3">
        <v>46069</v>
      </c>
      <c r="D9" s="3">
        <v>46073</v>
      </c>
      <c r="E9" t="s">
        <v>94</v>
      </c>
      <c r="F9" t="s">
        <v>12</v>
      </c>
      <c r="G9" t="s">
        <v>95</v>
      </c>
      <c r="H9" t="s">
        <v>96</v>
      </c>
      <c r="I9" t="str">
        <f>Resumo[[#This Row],[Turma:]] &amp; " | " &amp; Resumo[[#This Row],[TextoSemana]] &amp; " | " &amp; Resumo[[#This Row],[Disciplina:]]</f>
        <v>8º ano D | Semana 8 - 16/fev a 20/fev | Matemática</v>
      </c>
      <c r="J9" t="s">
        <v>97</v>
      </c>
    </row>
    <row r="10" spans="1:10" x14ac:dyDescent="0.3">
      <c r="A10" t="s">
        <v>42</v>
      </c>
      <c r="B10">
        <v>7</v>
      </c>
      <c r="C10" s="3">
        <v>46062</v>
      </c>
      <c r="D10" s="3">
        <v>46066</v>
      </c>
      <c r="E10" t="s">
        <v>98</v>
      </c>
      <c r="F10" t="s">
        <v>6</v>
      </c>
      <c r="G10" t="s">
        <v>235</v>
      </c>
      <c r="H10" t="s">
        <v>236</v>
      </c>
      <c r="I10" t="str">
        <f>Resumo[[#This Row],[Turma:]] &amp; " | " &amp; Resumo[[#This Row],[TextoSemana]] &amp; " | " &amp; Resumo[[#This Row],[Disciplina:]]</f>
        <v>9º ano A | Semana 7 - 09/fev a 13/fev | Língua Portuguesa</v>
      </c>
      <c r="J10" t="s">
        <v>101</v>
      </c>
    </row>
    <row r="11" spans="1:10" x14ac:dyDescent="0.3">
      <c r="A11" t="s">
        <v>43</v>
      </c>
      <c r="B11">
        <v>7</v>
      </c>
      <c r="C11" s="3">
        <v>46062</v>
      </c>
      <c r="D11" s="3">
        <v>46066</v>
      </c>
      <c r="E11" t="s">
        <v>98</v>
      </c>
      <c r="F11" t="s">
        <v>6</v>
      </c>
      <c r="G11" t="s">
        <v>237</v>
      </c>
      <c r="H11" t="s">
        <v>238</v>
      </c>
      <c r="I11" t="str">
        <f>Resumo[[#This Row],[Turma:]] &amp; " | " &amp; Resumo[[#This Row],[TextoSemana]] &amp; " | " &amp; Resumo[[#This Row],[Disciplina:]]</f>
        <v>9º ano B | Semana 7 - 09/fev a 13/fev | Língua Portuguesa</v>
      </c>
      <c r="J11" t="s">
        <v>101</v>
      </c>
    </row>
    <row r="12" spans="1:10" x14ac:dyDescent="0.3">
      <c r="A12" t="s">
        <v>44</v>
      </c>
      <c r="B12">
        <v>7</v>
      </c>
      <c r="C12" s="3">
        <v>46062</v>
      </c>
      <c r="D12" s="3">
        <v>46066</v>
      </c>
      <c r="E12" t="s">
        <v>98</v>
      </c>
      <c r="F12" t="s">
        <v>6</v>
      </c>
      <c r="G12" t="s">
        <v>237</v>
      </c>
      <c r="H12" t="s">
        <v>238</v>
      </c>
      <c r="I12" t="str">
        <f>Resumo[[#This Row],[Turma:]] &amp; " | " &amp; Resumo[[#This Row],[TextoSemana]] &amp; " | " &amp; Resumo[[#This Row],[Disciplina:]]</f>
        <v>9º ano C | Semana 7 - 09/fev a 13/fev | Língua Portuguesa</v>
      </c>
      <c r="J12" t="s">
        <v>101</v>
      </c>
    </row>
    <row r="13" spans="1:10" x14ac:dyDescent="0.3">
      <c r="A13" t="s">
        <v>45</v>
      </c>
      <c r="B13">
        <v>7</v>
      </c>
      <c r="C13" s="3">
        <v>46062</v>
      </c>
      <c r="D13" s="3">
        <v>46066</v>
      </c>
      <c r="E13" t="s">
        <v>98</v>
      </c>
      <c r="F13" t="s">
        <v>6</v>
      </c>
      <c r="G13" t="s">
        <v>237</v>
      </c>
      <c r="H13" t="s">
        <v>238</v>
      </c>
      <c r="I13" t="str">
        <f>Resumo[[#This Row],[Turma:]] &amp; " | " &amp; Resumo[[#This Row],[TextoSemana]] &amp; " | " &amp; Resumo[[#This Row],[Disciplina:]]</f>
        <v>9º ano D | Semana 7 - 09/fev a 13/fev | Língua Portuguesa</v>
      </c>
      <c r="J13" t="s">
        <v>101</v>
      </c>
    </row>
    <row r="14" spans="1:10" x14ac:dyDescent="0.3">
      <c r="A14" t="s">
        <v>26</v>
      </c>
      <c r="B14">
        <v>7</v>
      </c>
      <c r="C14" s="3">
        <v>46062</v>
      </c>
      <c r="D14" s="3">
        <v>46066</v>
      </c>
      <c r="E14" t="s">
        <v>98</v>
      </c>
      <c r="F14" t="s">
        <v>6</v>
      </c>
      <c r="G14" t="s">
        <v>102</v>
      </c>
      <c r="H14" t="s">
        <v>100</v>
      </c>
      <c r="I14" t="str">
        <f>Resumo[[#This Row],[Turma:]] &amp; " | " &amp; Resumo[[#This Row],[TextoSemana]] &amp; " | " &amp; Resumo[[#This Row],[Disciplina:]]</f>
        <v>6º ano C | Semana 7 - 09/fev a 13/fev | Língua Portuguesa</v>
      </c>
      <c r="J14" t="s">
        <v>101</v>
      </c>
    </row>
    <row r="15" spans="1:10" x14ac:dyDescent="0.3">
      <c r="A15" t="s">
        <v>46</v>
      </c>
      <c r="B15">
        <v>7</v>
      </c>
      <c r="C15" s="3">
        <v>46062</v>
      </c>
      <c r="D15" s="3">
        <v>46066</v>
      </c>
      <c r="E15" t="s">
        <v>98</v>
      </c>
      <c r="F15" t="s">
        <v>6</v>
      </c>
      <c r="G15" t="s">
        <v>237</v>
      </c>
      <c r="H15" t="s">
        <v>238</v>
      </c>
      <c r="I15" t="str">
        <f>Resumo[[#This Row],[Turma:]] &amp; " | " &amp; Resumo[[#This Row],[TextoSemana]] &amp; " | " &amp; Resumo[[#This Row],[Disciplina:]]</f>
        <v>9º ano E | Semana 7 - 09/fev a 13/fev | Língua Portuguesa</v>
      </c>
      <c r="J15" t="s">
        <v>101</v>
      </c>
    </row>
    <row r="16" spans="1:10" x14ac:dyDescent="0.3">
      <c r="A16" t="s">
        <v>33</v>
      </c>
      <c r="B16">
        <v>3</v>
      </c>
      <c r="C16" s="3">
        <v>46034</v>
      </c>
      <c r="D16" s="3">
        <v>46038</v>
      </c>
      <c r="E16" t="s">
        <v>103</v>
      </c>
      <c r="F16" t="s">
        <v>6</v>
      </c>
      <c r="G16" t="s">
        <v>104</v>
      </c>
      <c r="H16" t="s">
        <v>105</v>
      </c>
      <c r="I16" t="str">
        <f>Resumo[[#This Row],[Turma:]] &amp; " | " &amp; Resumo[[#This Row],[TextoSemana]] &amp; " | " &amp; Resumo[[#This Row],[Disciplina:]]</f>
        <v>1º ano A - EM | Semana 3 - 12/jan a 16/jan | Língua Portuguesa</v>
      </c>
      <c r="J16" t="s">
        <v>106</v>
      </c>
    </row>
    <row r="17" spans="1:10" x14ac:dyDescent="0.3">
      <c r="A17" t="s">
        <v>34</v>
      </c>
      <c r="B17">
        <v>3</v>
      </c>
      <c r="C17" s="3">
        <v>46034</v>
      </c>
      <c r="D17" s="3">
        <v>46038</v>
      </c>
      <c r="E17" t="s">
        <v>103</v>
      </c>
      <c r="F17" t="s">
        <v>6</v>
      </c>
      <c r="G17" t="s">
        <v>104</v>
      </c>
      <c r="H17" t="s">
        <v>105</v>
      </c>
      <c r="I17" t="str">
        <f>Resumo[[#This Row],[Turma:]] &amp; " | " &amp; Resumo[[#This Row],[TextoSemana]] &amp; " | " &amp; Resumo[[#This Row],[Disciplina:]]</f>
        <v>1º ano B - EM | Semana 3 - 12/jan a 16/jan | Língua Portuguesa</v>
      </c>
      <c r="J17" t="s">
        <v>106</v>
      </c>
    </row>
    <row r="18" spans="1:10" x14ac:dyDescent="0.3">
      <c r="A18" t="s">
        <v>35</v>
      </c>
      <c r="B18">
        <v>3</v>
      </c>
      <c r="C18" s="3">
        <v>46034</v>
      </c>
      <c r="D18" s="3">
        <v>46038</v>
      </c>
      <c r="E18" t="s">
        <v>103</v>
      </c>
      <c r="F18" t="s">
        <v>6</v>
      </c>
      <c r="G18" t="s">
        <v>104</v>
      </c>
      <c r="H18" t="s">
        <v>105</v>
      </c>
      <c r="I18" t="str">
        <f>Resumo[[#This Row],[Turma:]] &amp; " | " &amp; Resumo[[#This Row],[TextoSemana]] &amp; " | " &amp; Resumo[[#This Row],[Disciplina:]]</f>
        <v>1º ano C - EM | Semana 3 - 12/jan a 16/jan | Língua Portuguesa</v>
      </c>
      <c r="J18" t="s">
        <v>106</v>
      </c>
    </row>
    <row r="19" spans="1:10" x14ac:dyDescent="0.3">
      <c r="A19" t="s">
        <v>36</v>
      </c>
      <c r="B19">
        <v>3</v>
      </c>
      <c r="C19" s="3">
        <v>46034</v>
      </c>
      <c r="D19" s="3">
        <v>46038</v>
      </c>
      <c r="E19" t="s">
        <v>103</v>
      </c>
      <c r="F19" t="s">
        <v>6</v>
      </c>
      <c r="G19" t="s">
        <v>104</v>
      </c>
      <c r="H19" t="s">
        <v>105</v>
      </c>
      <c r="I19" t="str">
        <f>Resumo[[#This Row],[Turma:]] &amp; " | " &amp; Resumo[[#This Row],[TextoSemana]] &amp; " | " &amp; Resumo[[#This Row],[Disciplina:]]</f>
        <v>1º ano D - EM | Semana 3 - 12/jan a 16/jan | Língua Portuguesa</v>
      </c>
      <c r="J19" t="s">
        <v>106</v>
      </c>
    </row>
    <row r="20" spans="1:10" x14ac:dyDescent="0.3">
      <c r="A20" t="s">
        <v>37</v>
      </c>
      <c r="B20">
        <v>3</v>
      </c>
      <c r="C20" s="3">
        <v>46034</v>
      </c>
      <c r="D20" s="3">
        <v>46038</v>
      </c>
      <c r="E20" t="s">
        <v>103</v>
      </c>
      <c r="F20" t="s">
        <v>6</v>
      </c>
      <c r="G20" t="s">
        <v>104</v>
      </c>
      <c r="H20" t="s">
        <v>105</v>
      </c>
      <c r="I20" t="str">
        <f>Resumo[[#This Row],[Turma:]] &amp; " | " &amp; Resumo[[#This Row],[TextoSemana]] &amp; " | " &amp; Resumo[[#This Row],[Disciplina:]]</f>
        <v>1º ano E - EM | Semana 3 - 12/jan a 16/jan | Língua Portuguesa</v>
      </c>
      <c r="J20" t="s">
        <v>106</v>
      </c>
    </row>
    <row r="21" spans="1:10" x14ac:dyDescent="0.3">
      <c r="A21" t="s">
        <v>47</v>
      </c>
      <c r="B21">
        <v>3</v>
      </c>
      <c r="C21" s="3">
        <v>46034</v>
      </c>
      <c r="D21" s="3">
        <v>46038</v>
      </c>
      <c r="E21" t="s">
        <v>103</v>
      </c>
      <c r="F21" t="s">
        <v>6</v>
      </c>
      <c r="G21" t="s">
        <v>107</v>
      </c>
      <c r="H21" t="s">
        <v>108</v>
      </c>
      <c r="I21" t="str">
        <f>Resumo[[#This Row],[Turma:]] &amp; " | " &amp; Resumo[[#This Row],[TextoSemana]] &amp; " | " &amp; Resumo[[#This Row],[Disciplina:]]</f>
        <v>2º ano A - EM | Semana 3 - 12/jan a 16/jan | Língua Portuguesa</v>
      </c>
      <c r="J21" t="s">
        <v>109</v>
      </c>
    </row>
    <row r="22" spans="1:10" x14ac:dyDescent="0.3">
      <c r="A22" t="s">
        <v>48</v>
      </c>
      <c r="B22">
        <v>3</v>
      </c>
      <c r="C22" s="3">
        <v>46034</v>
      </c>
      <c r="D22" s="3">
        <v>46038</v>
      </c>
      <c r="E22" t="s">
        <v>103</v>
      </c>
      <c r="F22" t="s">
        <v>6</v>
      </c>
      <c r="G22" t="s">
        <v>107</v>
      </c>
      <c r="H22" t="s">
        <v>108</v>
      </c>
      <c r="I22" t="str">
        <f>Resumo[[#This Row],[Turma:]] &amp; " | " &amp; Resumo[[#This Row],[TextoSemana]] &amp; " | " &amp; Resumo[[#This Row],[Disciplina:]]</f>
        <v>2º ano B - EM | Semana 3 - 12/jan a 16/jan | Língua Portuguesa</v>
      </c>
      <c r="J22" t="s">
        <v>109</v>
      </c>
    </row>
    <row r="23" spans="1:10" x14ac:dyDescent="0.3">
      <c r="A23" t="s">
        <v>34</v>
      </c>
      <c r="B23">
        <v>3</v>
      </c>
      <c r="C23" s="3">
        <v>46034</v>
      </c>
      <c r="D23" s="3">
        <v>46038</v>
      </c>
      <c r="E23" t="s">
        <v>103</v>
      </c>
      <c r="F23" t="s">
        <v>32</v>
      </c>
      <c r="G23" t="s">
        <v>110</v>
      </c>
      <c r="H23" t="s">
        <v>111</v>
      </c>
      <c r="I23" t="str">
        <f>Resumo[[#This Row],[Turma:]] &amp; " | " &amp; Resumo[[#This Row],[TextoSemana]] &amp; " | " &amp; Resumo[[#This Row],[Disciplina:]]</f>
        <v>1º ano B - EM | Semana 3 - 12/jan a 16/jan | Trilha de Produção Textual</v>
      </c>
      <c r="J23" t="s">
        <v>106</v>
      </c>
    </row>
    <row r="24" spans="1:10" x14ac:dyDescent="0.3">
      <c r="A24" t="s">
        <v>28</v>
      </c>
      <c r="B24">
        <v>1</v>
      </c>
      <c r="C24" s="3">
        <v>46020</v>
      </c>
      <c r="D24" s="3">
        <v>46024</v>
      </c>
      <c r="E24" t="s">
        <v>112</v>
      </c>
      <c r="F24" t="s">
        <v>12</v>
      </c>
      <c r="G24" t="s">
        <v>113</v>
      </c>
      <c r="H24" t="s">
        <v>114</v>
      </c>
      <c r="I24" t="str">
        <f>Resumo[[#This Row],[Turma:]] &amp; " | " &amp; Resumo[[#This Row],[TextoSemana]] &amp; " | " &amp; Resumo[[#This Row],[Disciplina:]]</f>
        <v>7º ano A | Semana 1 - 29/dez a 02/jan | Matemática</v>
      </c>
      <c r="J24" t="s">
        <v>115</v>
      </c>
    </row>
    <row r="25" spans="1:10" x14ac:dyDescent="0.3">
      <c r="A25" t="s">
        <v>24</v>
      </c>
      <c r="B25">
        <v>2</v>
      </c>
      <c r="C25" s="3">
        <v>46027</v>
      </c>
      <c r="D25" s="3">
        <v>46031</v>
      </c>
      <c r="E25" t="s">
        <v>82</v>
      </c>
      <c r="F25" t="s">
        <v>12</v>
      </c>
      <c r="G25" t="s">
        <v>116</v>
      </c>
      <c r="H25" t="s">
        <v>117</v>
      </c>
      <c r="I25" t="str">
        <f>Resumo[[#This Row],[Turma:]] &amp; " | " &amp; Resumo[[#This Row],[TextoSemana]] &amp; " | " &amp; Resumo[[#This Row],[Disciplina:]]</f>
        <v>6º ano A | Semana 2 - 05/jan a 09/jan | Matemática</v>
      </c>
      <c r="J25" t="s">
        <v>118</v>
      </c>
    </row>
    <row r="26" spans="1:10" x14ac:dyDescent="0.3">
      <c r="A26" t="s">
        <v>25</v>
      </c>
      <c r="B26">
        <v>2</v>
      </c>
      <c r="C26" s="3">
        <v>46027</v>
      </c>
      <c r="D26" s="3">
        <v>46031</v>
      </c>
      <c r="E26" t="s">
        <v>82</v>
      </c>
      <c r="F26" t="s">
        <v>12</v>
      </c>
      <c r="G26" t="s">
        <v>116</v>
      </c>
      <c r="H26" t="s">
        <v>117</v>
      </c>
      <c r="I26" t="str">
        <f>Resumo[[#This Row],[Turma:]] &amp; " | " &amp; Resumo[[#This Row],[TextoSemana]] &amp; " | " &amp; Resumo[[#This Row],[Disciplina:]]</f>
        <v>6º ano B | Semana 2 - 05/jan a 09/jan | Matemática</v>
      </c>
      <c r="J26" t="s">
        <v>118</v>
      </c>
    </row>
    <row r="27" spans="1:10" x14ac:dyDescent="0.3">
      <c r="A27" t="s">
        <v>26</v>
      </c>
      <c r="B27">
        <v>2</v>
      </c>
      <c r="C27" s="3">
        <v>46027</v>
      </c>
      <c r="D27" s="3">
        <v>46031</v>
      </c>
      <c r="E27" t="s">
        <v>82</v>
      </c>
      <c r="F27" t="s">
        <v>12</v>
      </c>
      <c r="G27" t="s">
        <v>116</v>
      </c>
      <c r="H27" t="s">
        <v>117</v>
      </c>
      <c r="I27" t="str">
        <f>Resumo[[#This Row],[Turma:]] &amp; " | " &amp; Resumo[[#This Row],[TextoSemana]] &amp; " | " &amp; Resumo[[#This Row],[Disciplina:]]</f>
        <v>6º ano C | Semana 2 - 05/jan a 09/jan | Matemática</v>
      </c>
      <c r="J27" t="s">
        <v>118</v>
      </c>
    </row>
    <row r="28" spans="1:10" x14ac:dyDescent="0.3">
      <c r="A28" t="s">
        <v>27</v>
      </c>
      <c r="B28">
        <v>2</v>
      </c>
      <c r="C28" s="3">
        <v>46027</v>
      </c>
      <c r="D28" s="3">
        <v>46031</v>
      </c>
      <c r="E28" t="s">
        <v>82</v>
      </c>
      <c r="F28" t="s">
        <v>12</v>
      </c>
      <c r="G28" t="s">
        <v>116</v>
      </c>
      <c r="H28" t="s">
        <v>117</v>
      </c>
      <c r="I28" t="str">
        <f>Resumo[[#This Row],[Turma:]] &amp; " | " &amp; Resumo[[#This Row],[TextoSemana]] &amp; " | " &amp; Resumo[[#This Row],[Disciplina:]]</f>
        <v>6º ano D | Semana 2 - 05/jan a 09/jan | Matemática</v>
      </c>
      <c r="J28" t="s">
        <v>118</v>
      </c>
    </row>
    <row r="29" spans="1:10" x14ac:dyDescent="0.3">
      <c r="A29" t="s">
        <v>42</v>
      </c>
      <c r="B29">
        <v>8</v>
      </c>
      <c r="C29" s="3">
        <v>46069</v>
      </c>
      <c r="D29" s="3">
        <v>46073</v>
      </c>
      <c r="E29" t="s">
        <v>94</v>
      </c>
      <c r="F29" t="s">
        <v>8</v>
      </c>
      <c r="G29" t="s">
        <v>119</v>
      </c>
      <c r="H29" t="s">
        <v>120</v>
      </c>
      <c r="I29" t="str">
        <f>Resumo[[#This Row],[Turma:]] &amp; " | " &amp; Resumo[[#This Row],[TextoSemana]] &amp; " | " &amp; Resumo[[#This Row],[Disciplina:]]</f>
        <v>9º ano A | Semana 8 - 16/fev a 20/fev | Arte</v>
      </c>
      <c r="J29" t="s">
        <v>121</v>
      </c>
    </row>
    <row r="30" spans="1:10" x14ac:dyDescent="0.3">
      <c r="A30" t="s">
        <v>43</v>
      </c>
      <c r="B30">
        <v>8</v>
      </c>
      <c r="C30" s="3">
        <v>46069</v>
      </c>
      <c r="D30" s="3">
        <v>46073</v>
      </c>
      <c r="E30" t="s">
        <v>94</v>
      </c>
      <c r="F30" t="s">
        <v>8</v>
      </c>
      <c r="G30" t="s">
        <v>119</v>
      </c>
      <c r="H30" t="s">
        <v>120</v>
      </c>
      <c r="I30" t="str">
        <f>Resumo[[#This Row],[Turma:]] &amp; " | " &amp; Resumo[[#This Row],[TextoSemana]] &amp; " | " &amp; Resumo[[#This Row],[Disciplina:]]</f>
        <v>9º ano B | Semana 8 - 16/fev a 20/fev | Arte</v>
      </c>
      <c r="J30" t="s">
        <v>121</v>
      </c>
    </row>
    <row r="31" spans="1:10" x14ac:dyDescent="0.3">
      <c r="A31" t="s">
        <v>44</v>
      </c>
      <c r="B31">
        <v>8</v>
      </c>
      <c r="C31" s="3">
        <v>46069</v>
      </c>
      <c r="D31" s="3">
        <v>46073</v>
      </c>
      <c r="E31" t="s">
        <v>94</v>
      </c>
      <c r="F31" t="s">
        <v>8</v>
      </c>
      <c r="G31" t="s">
        <v>119</v>
      </c>
      <c r="H31" t="s">
        <v>120</v>
      </c>
      <c r="I31" t="str">
        <f>Resumo[[#This Row],[Turma:]] &amp; " | " &amp; Resumo[[#This Row],[TextoSemana]] &amp; " | " &amp; Resumo[[#This Row],[Disciplina:]]</f>
        <v>9º ano C | Semana 8 - 16/fev a 20/fev | Arte</v>
      </c>
      <c r="J31" t="s">
        <v>121</v>
      </c>
    </row>
    <row r="32" spans="1:10" x14ac:dyDescent="0.3">
      <c r="A32" t="s">
        <v>45</v>
      </c>
      <c r="B32">
        <v>8</v>
      </c>
      <c r="C32" s="3">
        <v>46069</v>
      </c>
      <c r="D32" s="3">
        <v>46073</v>
      </c>
      <c r="E32" t="s">
        <v>94</v>
      </c>
      <c r="F32" t="s">
        <v>8</v>
      </c>
      <c r="G32" t="s">
        <v>119</v>
      </c>
      <c r="H32" t="s">
        <v>120</v>
      </c>
      <c r="I32" t="str">
        <f>Resumo[[#This Row],[Turma:]] &amp; " | " &amp; Resumo[[#This Row],[TextoSemana]] &amp; " | " &amp; Resumo[[#This Row],[Disciplina:]]</f>
        <v>9º ano D | Semana 8 - 16/fev a 20/fev | Arte</v>
      </c>
      <c r="J32" t="s">
        <v>121</v>
      </c>
    </row>
    <row r="33" spans="1:10" x14ac:dyDescent="0.3">
      <c r="A33" t="s">
        <v>46</v>
      </c>
      <c r="B33">
        <v>8</v>
      </c>
      <c r="C33" s="3">
        <v>46069</v>
      </c>
      <c r="D33" s="3">
        <v>46073</v>
      </c>
      <c r="E33" t="s">
        <v>94</v>
      </c>
      <c r="F33" t="s">
        <v>8</v>
      </c>
      <c r="G33" t="s">
        <v>119</v>
      </c>
      <c r="H33" t="s">
        <v>120</v>
      </c>
      <c r="I33" t="str">
        <f>Resumo[[#This Row],[Turma:]] &amp; " | " &amp; Resumo[[#This Row],[TextoSemana]] &amp; " | " &amp; Resumo[[#This Row],[Disciplina:]]</f>
        <v>9º ano E | Semana 8 - 16/fev a 20/fev | Arte</v>
      </c>
      <c r="J33" t="s">
        <v>121</v>
      </c>
    </row>
    <row r="34" spans="1:10" x14ac:dyDescent="0.3">
      <c r="A34" t="s">
        <v>33</v>
      </c>
      <c r="B34">
        <v>8</v>
      </c>
      <c r="C34" s="3">
        <v>46069</v>
      </c>
      <c r="D34" s="3">
        <v>46073</v>
      </c>
      <c r="E34" t="s">
        <v>94</v>
      </c>
      <c r="F34" t="s">
        <v>8</v>
      </c>
      <c r="G34" t="s">
        <v>122</v>
      </c>
      <c r="H34" t="s">
        <v>123</v>
      </c>
      <c r="I34" t="str">
        <f>Resumo[[#This Row],[Turma:]] &amp; " | " &amp; Resumo[[#This Row],[TextoSemana]] &amp; " | " &amp; Resumo[[#This Row],[Disciplina:]]</f>
        <v>1º ano A - EM | Semana 8 - 16/fev a 20/fev | Arte</v>
      </c>
      <c r="J34" t="s">
        <v>124</v>
      </c>
    </row>
    <row r="35" spans="1:10" x14ac:dyDescent="0.3">
      <c r="A35" t="s">
        <v>34</v>
      </c>
      <c r="B35">
        <v>8</v>
      </c>
      <c r="C35" s="3">
        <v>46069</v>
      </c>
      <c r="D35" s="3">
        <v>46073</v>
      </c>
      <c r="E35" t="s">
        <v>94</v>
      </c>
      <c r="F35" t="s">
        <v>8</v>
      </c>
      <c r="G35" t="s">
        <v>122</v>
      </c>
      <c r="H35" t="s">
        <v>123</v>
      </c>
      <c r="I35" t="str">
        <f>Resumo[[#This Row],[Turma:]] &amp; " | " &amp; Resumo[[#This Row],[TextoSemana]] &amp; " | " &amp; Resumo[[#This Row],[Disciplina:]]</f>
        <v>1º ano B - EM | Semana 8 - 16/fev a 20/fev | Arte</v>
      </c>
      <c r="J35" t="s">
        <v>124</v>
      </c>
    </row>
    <row r="36" spans="1:10" x14ac:dyDescent="0.3">
      <c r="A36" t="s">
        <v>35</v>
      </c>
      <c r="B36">
        <v>8</v>
      </c>
      <c r="C36" s="3">
        <v>46069</v>
      </c>
      <c r="D36" s="3">
        <v>46073</v>
      </c>
      <c r="E36" t="s">
        <v>94</v>
      </c>
      <c r="F36" t="s">
        <v>8</v>
      </c>
      <c r="G36" t="s">
        <v>122</v>
      </c>
      <c r="H36" t="s">
        <v>123</v>
      </c>
      <c r="I36" t="str">
        <f>Resumo[[#This Row],[Turma:]] &amp; " | " &amp; Resumo[[#This Row],[TextoSemana]] &amp; " | " &amp; Resumo[[#This Row],[Disciplina:]]</f>
        <v>1º ano C - EM | Semana 8 - 16/fev a 20/fev | Arte</v>
      </c>
      <c r="J36" t="s">
        <v>124</v>
      </c>
    </row>
    <row r="37" spans="1:10" x14ac:dyDescent="0.3">
      <c r="A37" t="s">
        <v>36</v>
      </c>
      <c r="B37">
        <v>8</v>
      </c>
      <c r="C37" s="3">
        <v>46069</v>
      </c>
      <c r="D37" s="3">
        <v>46073</v>
      </c>
      <c r="E37" t="s">
        <v>94</v>
      </c>
      <c r="F37" t="s">
        <v>8</v>
      </c>
      <c r="G37" t="s">
        <v>122</v>
      </c>
      <c r="H37" t="s">
        <v>123</v>
      </c>
      <c r="I37" t="str">
        <f>Resumo[[#This Row],[Turma:]] &amp; " | " &amp; Resumo[[#This Row],[TextoSemana]] &amp; " | " &amp; Resumo[[#This Row],[Disciplina:]]</f>
        <v>1º ano D - EM | Semana 8 - 16/fev a 20/fev | Arte</v>
      </c>
      <c r="J37" t="s">
        <v>124</v>
      </c>
    </row>
    <row r="38" spans="1:10" x14ac:dyDescent="0.3">
      <c r="A38" t="s">
        <v>37</v>
      </c>
      <c r="B38">
        <v>8</v>
      </c>
      <c r="C38" s="3">
        <v>46069</v>
      </c>
      <c r="D38" s="3">
        <v>46073</v>
      </c>
      <c r="E38" t="s">
        <v>94</v>
      </c>
      <c r="F38" t="s">
        <v>8</v>
      </c>
      <c r="G38" t="s">
        <v>122</v>
      </c>
      <c r="H38" t="s">
        <v>123</v>
      </c>
      <c r="I38" t="str">
        <f>Resumo[[#This Row],[Turma:]] &amp; " | " &amp; Resumo[[#This Row],[TextoSemana]] &amp; " | " &amp; Resumo[[#This Row],[Disciplina:]]</f>
        <v>1º ano E - EM | Semana 8 - 16/fev a 20/fev | Arte</v>
      </c>
      <c r="J38" t="s">
        <v>124</v>
      </c>
    </row>
    <row r="39" spans="1:10" x14ac:dyDescent="0.3">
      <c r="A39" t="s">
        <v>47</v>
      </c>
      <c r="B39">
        <v>8</v>
      </c>
      <c r="C39" s="3">
        <v>46069</v>
      </c>
      <c r="D39" s="3">
        <v>46073</v>
      </c>
      <c r="E39" t="s">
        <v>94</v>
      </c>
      <c r="F39" t="s">
        <v>8</v>
      </c>
      <c r="G39" t="s">
        <v>125</v>
      </c>
      <c r="H39" t="s">
        <v>126</v>
      </c>
      <c r="I39" t="str">
        <f>Resumo[[#This Row],[Turma:]] &amp; " | " &amp; Resumo[[#This Row],[TextoSemana]] &amp; " | " &amp; Resumo[[#This Row],[Disciplina:]]</f>
        <v>2º ano A - EM | Semana 8 - 16/fev a 20/fev | Arte</v>
      </c>
      <c r="J39" t="s">
        <v>127</v>
      </c>
    </row>
    <row r="40" spans="1:10" x14ac:dyDescent="0.3">
      <c r="A40" t="s">
        <v>48</v>
      </c>
      <c r="B40">
        <v>8</v>
      </c>
      <c r="C40" s="3">
        <v>46069</v>
      </c>
      <c r="D40" s="3">
        <v>46073</v>
      </c>
      <c r="E40" t="s">
        <v>94</v>
      </c>
      <c r="F40" t="s">
        <v>8</v>
      </c>
      <c r="G40" t="s">
        <v>125</v>
      </c>
      <c r="H40" t="s">
        <v>126</v>
      </c>
      <c r="I40" t="str">
        <f>Resumo[[#This Row],[Turma:]] &amp; " | " &amp; Resumo[[#This Row],[TextoSemana]] &amp; " | " &amp; Resumo[[#This Row],[Disciplina:]]</f>
        <v>2º ano B - EM | Semana 8 - 16/fev a 20/fev | Arte</v>
      </c>
      <c r="J40" t="s">
        <v>127</v>
      </c>
    </row>
    <row r="41" spans="1:10" x14ac:dyDescent="0.3">
      <c r="A41" t="s">
        <v>49</v>
      </c>
      <c r="B41">
        <v>8</v>
      </c>
      <c r="C41" s="3">
        <v>46069</v>
      </c>
      <c r="D41" s="3">
        <v>46073</v>
      </c>
      <c r="E41" t="s">
        <v>94</v>
      </c>
      <c r="F41" t="s">
        <v>8</v>
      </c>
      <c r="G41" t="s">
        <v>125</v>
      </c>
      <c r="H41" t="s">
        <v>126</v>
      </c>
      <c r="I41" t="str">
        <f>Resumo[[#This Row],[Turma:]] &amp; " | " &amp; Resumo[[#This Row],[TextoSemana]] &amp; " | " &amp; Resumo[[#This Row],[Disciplina:]]</f>
        <v>2º ano C - EM | Semana 8 - 16/fev a 20/fev | Arte</v>
      </c>
      <c r="J41" t="s">
        <v>127</v>
      </c>
    </row>
    <row r="42" spans="1:10" x14ac:dyDescent="0.3">
      <c r="A42" t="s">
        <v>50</v>
      </c>
      <c r="B42">
        <v>8</v>
      </c>
      <c r="C42" s="3">
        <v>46069</v>
      </c>
      <c r="D42" s="3">
        <v>46073</v>
      </c>
      <c r="E42" t="s">
        <v>94</v>
      </c>
      <c r="F42" t="s">
        <v>8</v>
      </c>
      <c r="G42" t="s">
        <v>125</v>
      </c>
      <c r="H42" t="s">
        <v>126</v>
      </c>
      <c r="I42" t="str">
        <f>Resumo[[#This Row],[Turma:]] &amp; " | " &amp; Resumo[[#This Row],[TextoSemana]] &amp; " | " &amp; Resumo[[#This Row],[Disciplina:]]</f>
        <v>2º ano D - EM | Semana 8 - 16/fev a 20/fev | Arte</v>
      </c>
      <c r="J42" t="s">
        <v>127</v>
      </c>
    </row>
    <row r="43" spans="1:10" x14ac:dyDescent="0.3">
      <c r="A43" t="s">
        <v>51</v>
      </c>
      <c r="B43">
        <v>8</v>
      </c>
      <c r="C43" s="3">
        <v>46069</v>
      </c>
      <c r="D43" s="3">
        <v>46073</v>
      </c>
      <c r="E43" t="s">
        <v>94</v>
      </c>
      <c r="F43" t="s">
        <v>8</v>
      </c>
      <c r="G43" t="s">
        <v>125</v>
      </c>
      <c r="H43" t="s">
        <v>126</v>
      </c>
      <c r="I43" t="str">
        <f>Resumo[[#This Row],[Turma:]] &amp; " | " &amp; Resumo[[#This Row],[TextoSemana]] &amp; " | " &amp; Resumo[[#This Row],[Disciplina:]]</f>
        <v>2º ano E - EM | Semana 8 - 16/fev a 20/fev | Arte</v>
      </c>
      <c r="J43" t="s">
        <v>127</v>
      </c>
    </row>
    <row r="44" spans="1:10" x14ac:dyDescent="0.3">
      <c r="A44" t="s">
        <v>24</v>
      </c>
      <c r="B44">
        <v>1</v>
      </c>
      <c r="C44" s="3">
        <v>46020</v>
      </c>
      <c r="D44" s="3">
        <v>46024</v>
      </c>
      <c r="E44" t="s">
        <v>112</v>
      </c>
      <c r="F44" t="s">
        <v>7</v>
      </c>
      <c r="G44" t="s">
        <v>128</v>
      </c>
      <c r="H44" t="s">
        <v>129</v>
      </c>
      <c r="I44" t="str">
        <f>Resumo[[#This Row],[Turma:]] &amp; " | " &amp; Resumo[[#This Row],[TextoSemana]] &amp; " | " &amp; Resumo[[#This Row],[Disciplina:]]</f>
        <v>6º ano A | Semana 1 - 29/dez a 02/jan | Língua Inglesa</v>
      </c>
      <c r="J44" t="s">
        <v>130</v>
      </c>
    </row>
    <row r="45" spans="1:10" x14ac:dyDescent="0.3">
      <c r="A45" t="s">
        <v>25</v>
      </c>
      <c r="B45">
        <v>1</v>
      </c>
      <c r="C45" s="3">
        <v>46020</v>
      </c>
      <c r="D45" s="3">
        <v>46024</v>
      </c>
      <c r="E45" t="s">
        <v>112</v>
      </c>
      <c r="F45" t="s">
        <v>7</v>
      </c>
      <c r="G45" t="s">
        <v>128</v>
      </c>
      <c r="H45" t="s">
        <v>129</v>
      </c>
      <c r="I45" t="str">
        <f>Resumo[[#This Row],[Turma:]] &amp; " | " &amp; Resumo[[#This Row],[TextoSemana]] &amp; " | " &amp; Resumo[[#This Row],[Disciplina:]]</f>
        <v>6º ano B | Semana 1 - 29/dez a 02/jan | Língua Inglesa</v>
      </c>
      <c r="J45" t="s">
        <v>130</v>
      </c>
    </row>
    <row r="46" spans="1:10" x14ac:dyDescent="0.3">
      <c r="A46" t="s">
        <v>26</v>
      </c>
      <c r="B46">
        <v>1</v>
      </c>
      <c r="C46" s="3">
        <v>46020</v>
      </c>
      <c r="D46" s="3">
        <v>46024</v>
      </c>
      <c r="E46" t="s">
        <v>112</v>
      </c>
      <c r="F46" t="s">
        <v>7</v>
      </c>
      <c r="G46" t="s">
        <v>128</v>
      </c>
      <c r="H46" t="s">
        <v>129</v>
      </c>
      <c r="I46" t="str">
        <f>Resumo[[#This Row],[Turma:]] &amp; " | " &amp; Resumo[[#This Row],[TextoSemana]] &amp; " | " &amp; Resumo[[#This Row],[Disciplina:]]</f>
        <v>6º ano C | Semana 1 - 29/dez a 02/jan | Língua Inglesa</v>
      </c>
      <c r="J46" t="s">
        <v>130</v>
      </c>
    </row>
    <row r="47" spans="1:10" x14ac:dyDescent="0.3">
      <c r="A47" t="s">
        <v>27</v>
      </c>
      <c r="B47">
        <v>1</v>
      </c>
      <c r="C47" s="3">
        <v>46020</v>
      </c>
      <c r="D47" s="3">
        <v>46024</v>
      </c>
      <c r="E47" t="s">
        <v>112</v>
      </c>
      <c r="F47" t="s">
        <v>7</v>
      </c>
      <c r="G47" t="s">
        <v>128</v>
      </c>
      <c r="H47" t="s">
        <v>129</v>
      </c>
      <c r="I47" t="str">
        <f>Resumo[[#This Row],[Turma:]] &amp; " | " &amp; Resumo[[#This Row],[TextoSemana]] &amp; " | " &amp; Resumo[[#This Row],[Disciplina:]]</f>
        <v>6º ano D | Semana 1 - 29/dez a 02/jan | Língua Inglesa</v>
      </c>
      <c r="J47" t="s">
        <v>130</v>
      </c>
    </row>
    <row r="48" spans="1:10" x14ac:dyDescent="0.3">
      <c r="A48" t="s">
        <v>42</v>
      </c>
      <c r="B48">
        <v>12</v>
      </c>
      <c r="C48" s="3">
        <v>46097</v>
      </c>
      <c r="D48" s="3">
        <v>46101</v>
      </c>
      <c r="E48" t="s">
        <v>131</v>
      </c>
      <c r="F48" t="s">
        <v>12</v>
      </c>
      <c r="G48" t="s">
        <v>132</v>
      </c>
      <c r="H48" t="s">
        <v>133</v>
      </c>
      <c r="I48" t="str">
        <f>Resumo[[#This Row],[Turma:]] &amp; " | " &amp; Resumo[[#This Row],[TextoSemana]] &amp; " | " &amp; Resumo[[#This Row],[Disciplina:]]</f>
        <v>9º ano A | Semana 12 - 16/mar a 20/mar | Matemática</v>
      </c>
      <c r="J48" t="s">
        <v>134</v>
      </c>
    </row>
    <row r="49" spans="1:10" x14ac:dyDescent="0.3">
      <c r="A49" t="s">
        <v>43</v>
      </c>
      <c r="B49">
        <v>12</v>
      </c>
      <c r="C49" s="3">
        <v>46097</v>
      </c>
      <c r="D49" s="3">
        <v>46101</v>
      </c>
      <c r="E49" t="s">
        <v>131</v>
      </c>
      <c r="F49" t="s">
        <v>12</v>
      </c>
      <c r="G49" t="s">
        <v>132</v>
      </c>
      <c r="H49" t="s">
        <v>133</v>
      </c>
      <c r="I49" t="str">
        <f>Resumo[[#This Row],[Turma:]] &amp; " | " &amp; Resumo[[#This Row],[TextoSemana]] &amp; " | " &amp; Resumo[[#This Row],[Disciplina:]]</f>
        <v>9º ano B | Semana 12 - 16/mar a 20/mar | Matemática</v>
      </c>
      <c r="J49" t="s">
        <v>134</v>
      </c>
    </row>
    <row r="50" spans="1:10" x14ac:dyDescent="0.3">
      <c r="A50" t="s">
        <v>45</v>
      </c>
      <c r="B50">
        <v>12</v>
      </c>
      <c r="C50" s="3">
        <v>46097</v>
      </c>
      <c r="D50" s="3">
        <v>46101</v>
      </c>
      <c r="E50" t="s">
        <v>131</v>
      </c>
      <c r="F50" t="s">
        <v>12</v>
      </c>
      <c r="G50" t="s">
        <v>132</v>
      </c>
      <c r="H50" t="s">
        <v>133</v>
      </c>
      <c r="I50" t="str">
        <f>Resumo[[#This Row],[Turma:]] &amp; " | " &amp; Resumo[[#This Row],[TextoSemana]] &amp; " | " &amp; Resumo[[#This Row],[Disciplina:]]</f>
        <v>9º ano D | Semana 12 - 16/mar a 20/mar | Matemática</v>
      </c>
      <c r="J50" t="s">
        <v>134</v>
      </c>
    </row>
    <row r="51" spans="1:10" x14ac:dyDescent="0.3">
      <c r="A51" t="s">
        <v>44</v>
      </c>
      <c r="B51">
        <v>12</v>
      </c>
      <c r="C51" s="3">
        <v>46097</v>
      </c>
      <c r="D51" s="3">
        <v>46101</v>
      </c>
      <c r="E51" t="s">
        <v>131</v>
      </c>
      <c r="F51" t="s">
        <v>12</v>
      </c>
      <c r="G51" t="s">
        <v>132</v>
      </c>
      <c r="H51" t="s">
        <v>133</v>
      </c>
      <c r="I51" t="str">
        <f>Resumo[[#This Row],[Turma:]] &amp; " | " &amp; Resumo[[#This Row],[TextoSemana]] &amp; " | " &amp; Resumo[[#This Row],[Disciplina:]]</f>
        <v>9º ano C | Semana 12 - 16/mar a 20/mar | Matemática</v>
      </c>
      <c r="J51" t="s">
        <v>134</v>
      </c>
    </row>
    <row r="52" spans="1:10" x14ac:dyDescent="0.3">
      <c r="A52" t="s">
        <v>46</v>
      </c>
      <c r="B52">
        <v>12</v>
      </c>
      <c r="C52" s="3">
        <v>46097</v>
      </c>
      <c r="D52" s="3">
        <v>46101</v>
      </c>
      <c r="E52" t="s">
        <v>131</v>
      </c>
      <c r="F52" t="s">
        <v>12</v>
      </c>
      <c r="G52" t="s">
        <v>132</v>
      </c>
      <c r="H52" t="s">
        <v>133</v>
      </c>
      <c r="I52" t="str">
        <f>Resumo[[#This Row],[Turma:]] &amp; " | " &amp; Resumo[[#This Row],[TextoSemana]] &amp; " | " &amp; Resumo[[#This Row],[Disciplina:]]</f>
        <v>9º ano E | Semana 12 - 16/mar a 20/mar | Matemática</v>
      </c>
      <c r="J52" t="s">
        <v>134</v>
      </c>
    </row>
    <row r="53" spans="1:10" x14ac:dyDescent="0.3">
      <c r="A53" t="s">
        <v>24</v>
      </c>
      <c r="B53">
        <v>3</v>
      </c>
      <c r="C53" s="3">
        <v>46034</v>
      </c>
      <c r="D53" s="3">
        <v>46038</v>
      </c>
      <c r="E53" t="s">
        <v>103</v>
      </c>
      <c r="F53" t="s">
        <v>13</v>
      </c>
      <c r="G53" t="s">
        <v>135</v>
      </c>
      <c r="H53" t="s">
        <v>136</v>
      </c>
      <c r="I53" t="str">
        <f>Resumo[[#This Row],[Turma:]] &amp; " | " &amp; Resumo[[#This Row],[TextoSemana]] &amp; " | " &amp; Resumo[[#This Row],[Disciplina:]]</f>
        <v>6º ano A | Semana 3 - 12/jan a 16/jan | Ciências da Natureza</v>
      </c>
      <c r="J53" t="s">
        <v>137</v>
      </c>
    </row>
    <row r="54" spans="1:10" x14ac:dyDescent="0.3">
      <c r="A54" t="s">
        <v>25</v>
      </c>
      <c r="B54">
        <v>3</v>
      </c>
      <c r="C54" s="3">
        <v>46034</v>
      </c>
      <c r="D54" s="3">
        <v>46038</v>
      </c>
      <c r="E54" t="s">
        <v>103</v>
      </c>
      <c r="F54" t="s">
        <v>13</v>
      </c>
      <c r="G54" t="s">
        <v>135</v>
      </c>
      <c r="H54" t="s">
        <v>136</v>
      </c>
      <c r="I54" t="str">
        <f>Resumo[[#This Row],[Turma:]] &amp; " | " &amp; Resumo[[#This Row],[TextoSemana]] &amp; " | " &amp; Resumo[[#This Row],[Disciplina:]]</f>
        <v>6º ano B | Semana 3 - 12/jan a 16/jan | Ciências da Natureza</v>
      </c>
      <c r="J54" t="s">
        <v>137</v>
      </c>
    </row>
    <row r="55" spans="1:10" x14ac:dyDescent="0.3">
      <c r="A55" t="s">
        <v>26</v>
      </c>
      <c r="B55">
        <v>3</v>
      </c>
      <c r="C55" s="3">
        <v>46034</v>
      </c>
      <c r="D55" s="3">
        <v>46038</v>
      </c>
      <c r="E55" t="s">
        <v>103</v>
      </c>
      <c r="F55" t="s">
        <v>13</v>
      </c>
      <c r="G55" t="s">
        <v>135</v>
      </c>
      <c r="H55" t="s">
        <v>136</v>
      </c>
      <c r="I55" t="str">
        <f>Resumo[[#This Row],[Turma:]] &amp; " | " &amp; Resumo[[#This Row],[TextoSemana]] &amp; " | " &amp; Resumo[[#This Row],[Disciplina:]]</f>
        <v>6º ano C | Semana 3 - 12/jan a 16/jan | Ciências da Natureza</v>
      </c>
      <c r="J55" t="s">
        <v>137</v>
      </c>
    </row>
    <row r="56" spans="1:10" x14ac:dyDescent="0.3">
      <c r="A56" t="s">
        <v>27</v>
      </c>
      <c r="B56">
        <v>3</v>
      </c>
      <c r="C56" s="3">
        <v>46034</v>
      </c>
      <c r="D56" s="3">
        <v>46038</v>
      </c>
      <c r="E56" t="s">
        <v>103</v>
      </c>
      <c r="F56" t="s">
        <v>13</v>
      </c>
      <c r="G56" t="s">
        <v>135</v>
      </c>
      <c r="H56" t="s">
        <v>136</v>
      </c>
      <c r="I56" t="str">
        <f>Resumo[[#This Row],[Turma:]] &amp; " | " &amp; Resumo[[#This Row],[TextoSemana]] &amp; " | " &amp; Resumo[[#This Row],[Disciplina:]]</f>
        <v>6º ano D | Semana 3 - 12/jan a 16/jan | Ciências da Natureza</v>
      </c>
      <c r="J56" t="s">
        <v>137</v>
      </c>
    </row>
    <row r="57" spans="1:10" x14ac:dyDescent="0.3">
      <c r="A57" t="s">
        <v>38</v>
      </c>
      <c r="B57">
        <v>3</v>
      </c>
      <c r="C57" s="3">
        <v>46034</v>
      </c>
      <c r="D57" s="3">
        <v>46038</v>
      </c>
      <c r="E57" t="s">
        <v>103</v>
      </c>
      <c r="F57" t="s">
        <v>13</v>
      </c>
      <c r="G57" t="s">
        <v>138</v>
      </c>
      <c r="H57" t="s">
        <v>139</v>
      </c>
      <c r="I57" t="str">
        <f>Resumo[[#This Row],[Turma:]] &amp; " | " &amp; Resumo[[#This Row],[TextoSemana]] &amp; " | " &amp; Resumo[[#This Row],[Disciplina:]]</f>
        <v>8º ano A | Semana 3 - 12/jan a 16/jan | Ciências da Natureza</v>
      </c>
      <c r="J57" t="s">
        <v>130</v>
      </c>
    </row>
    <row r="58" spans="1:10" x14ac:dyDescent="0.3">
      <c r="A58" t="s">
        <v>39</v>
      </c>
      <c r="B58">
        <v>3</v>
      </c>
      <c r="C58" s="3">
        <v>46034</v>
      </c>
      <c r="D58" s="3">
        <v>46038</v>
      </c>
      <c r="E58" t="s">
        <v>103</v>
      </c>
      <c r="F58" t="s">
        <v>13</v>
      </c>
      <c r="G58" t="s">
        <v>138</v>
      </c>
      <c r="H58" t="s">
        <v>139</v>
      </c>
      <c r="I58" t="str">
        <f>Resumo[[#This Row],[Turma:]] &amp; " | " &amp; Resumo[[#This Row],[TextoSemana]] &amp; " | " &amp; Resumo[[#This Row],[Disciplina:]]</f>
        <v>8º ano B | Semana 3 - 12/jan a 16/jan | Ciências da Natureza</v>
      </c>
      <c r="J58" t="s">
        <v>130</v>
      </c>
    </row>
    <row r="59" spans="1:10" x14ac:dyDescent="0.3">
      <c r="A59" t="s">
        <v>40</v>
      </c>
      <c r="B59">
        <v>3</v>
      </c>
      <c r="C59" s="3">
        <v>46034</v>
      </c>
      <c r="D59" s="3">
        <v>46038</v>
      </c>
      <c r="E59" t="s">
        <v>103</v>
      </c>
      <c r="F59" t="s">
        <v>13</v>
      </c>
      <c r="G59" t="s">
        <v>138</v>
      </c>
      <c r="H59" t="s">
        <v>139</v>
      </c>
      <c r="I59" t="str">
        <f>Resumo[[#This Row],[Turma:]] &amp; " | " &amp; Resumo[[#This Row],[TextoSemana]] &amp; " | " &amp; Resumo[[#This Row],[Disciplina:]]</f>
        <v>8º ano C | Semana 3 - 12/jan a 16/jan | Ciências da Natureza</v>
      </c>
      <c r="J59" t="s">
        <v>130</v>
      </c>
    </row>
    <row r="60" spans="1:10" x14ac:dyDescent="0.3">
      <c r="A60" t="s">
        <v>41</v>
      </c>
      <c r="B60">
        <v>3</v>
      </c>
      <c r="C60" s="3">
        <v>46034</v>
      </c>
      <c r="D60" s="3">
        <v>46038</v>
      </c>
      <c r="E60" t="s">
        <v>103</v>
      </c>
      <c r="F60" t="s">
        <v>13</v>
      </c>
      <c r="G60" t="s">
        <v>138</v>
      </c>
      <c r="H60" t="s">
        <v>139</v>
      </c>
      <c r="I60" t="str">
        <f>Resumo[[#This Row],[Turma:]] &amp; " | " &amp; Resumo[[#This Row],[TextoSemana]] &amp; " | " &amp; Resumo[[#This Row],[Disciplina:]]</f>
        <v>8º ano D | Semana 3 - 12/jan a 16/jan | Ciências da Natureza</v>
      </c>
      <c r="J60" t="s">
        <v>130</v>
      </c>
    </row>
    <row r="61" spans="1:10" x14ac:dyDescent="0.3">
      <c r="A61" t="s">
        <v>38</v>
      </c>
      <c r="B61">
        <v>3</v>
      </c>
      <c r="C61" s="3">
        <v>46034</v>
      </c>
      <c r="D61" s="3">
        <v>46038</v>
      </c>
      <c r="E61" t="s">
        <v>103</v>
      </c>
      <c r="F61" t="s">
        <v>14</v>
      </c>
      <c r="G61" t="s">
        <v>140</v>
      </c>
      <c r="H61" t="s">
        <v>130</v>
      </c>
      <c r="I61" t="str">
        <f>Resumo[[#This Row],[Turma:]] &amp; " | " &amp; Resumo[[#This Row],[TextoSemana]] &amp; " | " &amp; Resumo[[#This Row],[Disciplina:]]</f>
        <v>8º ano A | Semana 3 - 12/jan a 16/jan | STEAM</v>
      </c>
      <c r="J61" t="s">
        <v>141</v>
      </c>
    </row>
    <row r="62" spans="1:10" x14ac:dyDescent="0.3">
      <c r="A62" t="s">
        <v>40</v>
      </c>
      <c r="B62">
        <v>3</v>
      </c>
      <c r="C62" s="3">
        <v>46034</v>
      </c>
      <c r="D62" s="3">
        <v>46038</v>
      </c>
      <c r="E62" t="s">
        <v>103</v>
      </c>
      <c r="F62" t="s">
        <v>14</v>
      </c>
      <c r="G62" t="s">
        <v>140</v>
      </c>
      <c r="H62" t="s">
        <v>130</v>
      </c>
      <c r="I62" t="str">
        <f>Resumo[[#This Row],[Turma:]] &amp; " | " &amp; Resumo[[#This Row],[TextoSemana]] &amp; " | " &amp; Resumo[[#This Row],[Disciplina:]]</f>
        <v>8º ano C | Semana 3 - 12/jan a 16/jan | STEAM</v>
      </c>
      <c r="J62" t="s">
        <v>141</v>
      </c>
    </row>
    <row r="63" spans="1:10" x14ac:dyDescent="0.3">
      <c r="A63" t="s">
        <v>39</v>
      </c>
      <c r="B63">
        <v>3</v>
      </c>
      <c r="C63" s="3">
        <v>46034</v>
      </c>
      <c r="D63" s="3">
        <v>46038</v>
      </c>
      <c r="E63" t="s">
        <v>103</v>
      </c>
      <c r="F63" t="s">
        <v>14</v>
      </c>
      <c r="G63" t="s">
        <v>140</v>
      </c>
      <c r="H63" t="s">
        <v>130</v>
      </c>
      <c r="I63" t="str">
        <f>Resumo[[#This Row],[Turma:]] &amp; " | " &amp; Resumo[[#This Row],[TextoSemana]] &amp; " | " &amp; Resumo[[#This Row],[Disciplina:]]</f>
        <v>8º ano B | Semana 3 - 12/jan a 16/jan | STEAM</v>
      </c>
      <c r="J63" t="s">
        <v>141</v>
      </c>
    </row>
    <row r="64" spans="1:10" x14ac:dyDescent="0.3">
      <c r="A64" t="s">
        <v>42</v>
      </c>
      <c r="B64">
        <v>3</v>
      </c>
      <c r="C64" s="3">
        <v>46034</v>
      </c>
      <c r="D64" s="3">
        <v>46038</v>
      </c>
      <c r="E64" t="s">
        <v>103</v>
      </c>
      <c r="F64" t="s">
        <v>14</v>
      </c>
      <c r="G64" t="s">
        <v>142</v>
      </c>
      <c r="H64" t="s">
        <v>130</v>
      </c>
      <c r="I64" t="str">
        <f>Resumo[[#This Row],[Turma:]] &amp; " | " &amp; Resumo[[#This Row],[TextoSemana]] &amp; " | " &amp; Resumo[[#This Row],[Disciplina:]]</f>
        <v>9º ano A | Semana 3 - 12/jan a 16/jan | STEAM</v>
      </c>
      <c r="J64" t="s">
        <v>130</v>
      </c>
    </row>
    <row r="65" spans="1:10" x14ac:dyDescent="0.3">
      <c r="A65" t="s">
        <v>43</v>
      </c>
      <c r="B65">
        <v>3</v>
      </c>
      <c r="C65" s="3">
        <v>46034</v>
      </c>
      <c r="D65" s="3">
        <v>46038</v>
      </c>
      <c r="E65" t="s">
        <v>103</v>
      </c>
      <c r="F65" t="s">
        <v>14</v>
      </c>
      <c r="G65" t="s">
        <v>142</v>
      </c>
      <c r="H65" t="s">
        <v>130</v>
      </c>
      <c r="I65" t="str">
        <f>Resumo[[#This Row],[Turma:]] &amp; " | " &amp; Resumo[[#This Row],[TextoSemana]] &amp; " | " &amp; Resumo[[#This Row],[Disciplina:]]</f>
        <v>9º ano B | Semana 3 - 12/jan a 16/jan | STEAM</v>
      </c>
      <c r="J65" t="s">
        <v>130</v>
      </c>
    </row>
    <row r="66" spans="1:10" x14ac:dyDescent="0.3">
      <c r="A66" t="s">
        <v>35</v>
      </c>
      <c r="B66">
        <v>2</v>
      </c>
      <c r="C66" s="3">
        <v>46027</v>
      </c>
      <c r="D66" s="3">
        <v>46031</v>
      </c>
      <c r="E66" t="s">
        <v>82</v>
      </c>
      <c r="F66" t="s">
        <v>12</v>
      </c>
      <c r="G66" t="s">
        <v>164</v>
      </c>
      <c r="H66" t="s">
        <v>165</v>
      </c>
      <c r="I66" t="str">
        <f>Resumo[[#This Row],[Turma:]] &amp; " | " &amp; Resumo[[#This Row],[TextoSemana]] &amp; " | " &amp; Resumo[[#This Row],[Disciplina:]]</f>
        <v>1º ano C - EM | Semana 2 - 05/jan a 09/jan | Matemática</v>
      </c>
      <c r="J66" t="s">
        <v>166</v>
      </c>
    </row>
    <row r="67" spans="1:10" x14ac:dyDescent="0.3">
      <c r="A67" t="s">
        <v>36</v>
      </c>
      <c r="B67">
        <v>2</v>
      </c>
      <c r="C67" s="3">
        <v>46027</v>
      </c>
      <c r="D67" s="3">
        <v>46031</v>
      </c>
      <c r="E67" t="s">
        <v>82</v>
      </c>
      <c r="F67" t="s">
        <v>12</v>
      </c>
      <c r="G67" t="s">
        <v>164</v>
      </c>
      <c r="H67" t="s">
        <v>165</v>
      </c>
      <c r="I67" t="str">
        <f>Resumo[[#This Row],[Turma:]] &amp; " | " &amp; Resumo[[#This Row],[TextoSemana]] &amp; " | " &amp; Resumo[[#This Row],[Disciplina:]]</f>
        <v>1º ano D - EM | Semana 2 - 05/jan a 09/jan | Matemática</v>
      </c>
      <c r="J67" t="s">
        <v>166</v>
      </c>
    </row>
    <row r="68" spans="1:10" x14ac:dyDescent="0.3">
      <c r="A68" t="s">
        <v>47</v>
      </c>
      <c r="B68">
        <v>2</v>
      </c>
      <c r="C68" s="3">
        <v>46027</v>
      </c>
      <c r="D68" s="3">
        <v>46031</v>
      </c>
      <c r="E68" t="s">
        <v>82</v>
      </c>
      <c r="F68" t="s">
        <v>12</v>
      </c>
      <c r="G68" t="s">
        <v>164</v>
      </c>
      <c r="H68" t="s">
        <v>165</v>
      </c>
      <c r="I68" t="str">
        <f>Resumo[[#This Row],[Turma:]] &amp; " | " &amp; Resumo[[#This Row],[TextoSemana]] &amp; " | " &amp; Resumo[[#This Row],[Disciplina:]]</f>
        <v>2º ano A - EM | Semana 2 - 05/jan a 09/jan | Matemática</v>
      </c>
      <c r="J68" t="s">
        <v>166</v>
      </c>
    </row>
    <row r="69" spans="1:10" x14ac:dyDescent="0.3">
      <c r="A69" t="s">
        <v>50</v>
      </c>
      <c r="B69">
        <v>2</v>
      </c>
      <c r="C69" s="3">
        <v>46027</v>
      </c>
      <c r="D69" s="3">
        <v>46031</v>
      </c>
      <c r="E69" t="s">
        <v>82</v>
      </c>
      <c r="F69" t="s">
        <v>12</v>
      </c>
      <c r="G69" t="s">
        <v>167</v>
      </c>
      <c r="H69" t="s">
        <v>168</v>
      </c>
      <c r="I69" t="str">
        <f>Resumo[[#This Row],[Turma:]] &amp; " | " &amp; Resumo[[#This Row],[TextoSemana]] &amp; " | " &amp; Resumo[[#This Row],[Disciplina:]]</f>
        <v>2º ano D - EM | Semana 2 - 05/jan a 09/jan | Matemática</v>
      </c>
      <c r="J69" t="s">
        <v>169</v>
      </c>
    </row>
    <row r="70" spans="1:10" x14ac:dyDescent="0.3">
      <c r="A70" t="s">
        <v>51</v>
      </c>
      <c r="B70">
        <v>2</v>
      </c>
      <c r="C70" s="3">
        <v>46027</v>
      </c>
      <c r="D70" s="3">
        <v>46031</v>
      </c>
      <c r="E70" t="s">
        <v>82</v>
      </c>
      <c r="F70" t="s">
        <v>12</v>
      </c>
      <c r="G70" t="s">
        <v>167</v>
      </c>
      <c r="H70" t="s">
        <v>168</v>
      </c>
      <c r="I70" t="str">
        <f>Resumo[[#This Row],[Turma:]] &amp; " | " &amp; Resumo[[#This Row],[TextoSemana]] &amp; " | " &amp; Resumo[[#This Row],[Disciplina:]]</f>
        <v>2º ano E - EM | Semana 2 - 05/jan a 09/jan | Matemática</v>
      </c>
      <c r="J70" t="s">
        <v>169</v>
      </c>
    </row>
    <row r="71" spans="1:10" x14ac:dyDescent="0.3">
      <c r="A71" t="s">
        <v>44</v>
      </c>
      <c r="B71">
        <v>2</v>
      </c>
      <c r="C71" s="3">
        <v>46027</v>
      </c>
      <c r="D71" s="3">
        <v>46031</v>
      </c>
      <c r="E71" t="s">
        <v>82</v>
      </c>
      <c r="F71" t="s">
        <v>14</v>
      </c>
      <c r="G71" t="s">
        <v>170</v>
      </c>
      <c r="H71" t="s">
        <v>171</v>
      </c>
      <c r="I71" t="str">
        <f>Resumo[[#This Row],[Turma:]] &amp; " | " &amp; Resumo[[#This Row],[TextoSemana]] &amp; " | " &amp; Resumo[[#This Row],[Disciplina:]]</f>
        <v>9º ano C | Semana 2 - 05/jan a 09/jan | STEAM</v>
      </c>
      <c r="J71" t="s">
        <v>172</v>
      </c>
    </row>
    <row r="72" spans="1:10" x14ac:dyDescent="0.3">
      <c r="A72" t="s">
        <v>45</v>
      </c>
      <c r="B72">
        <v>2</v>
      </c>
      <c r="C72" s="3">
        <v>46027</v>
      </c>
      <c r="D72" s="3">
        <v>46031</v>
      </c>
      <c r="E72" t="s">
        <v>82</v>
      </c>
      <c r="F72" t="s">
        <v>14</v>
      </c>
      <c r="G72" t="s">
        <v>170</v>
      </c>
      <c r="H72" t="s">
        <v>171</v>
      </c>
      <c r="I72" t="str">
        <f>Resumo[[#This Row],[Turma:]] &amp; " | " &amp; Resumo[[#This Row],[TextoSemana]] &amp; " | " &amp; Resumo[[#This Row],[Disciplina:]]</f>
        <v>9º ano D | Semana 2 - 05/jan a 09/jan | STEAM</v>
      </c>
      <c r="J72" t="s">
        <v>172</v>
      </c>
    </row>
    <row r="73" spans="1:10" x14ac:dyDescent="0.3">
      <c r="A73" t="s">
        <v>46</v>
      </c>
      <c r="B73">
        <v>2</v>
      </c>
      <c r="C73" s="3">
        <v>46027</v>
      </c>
      <c r="D73" s="3">
        <v>46031</v>
      </c>
      <c r="E73" t="s">
        <v>82</v>
      </c>
      <c r="F73" t="s">
        <v>14</v>
      </c>
      <c r="G73" t="s">
        <v>170</v>
      </c>
      <c r="H73" t="s">
        <v>171</v>
      </c>
      <c r="I73" t="str">
        <f>Resumo[[#This Row],[Turma:]] &amp; " | " &amp; Resumo[[#This Row],[TextoSemana]] &amp; " | " &amp; Resumo[[#This Row],[Disciplina:]]</f>
        <v>9º ano E | Semana 2 - 05/jan a 09/jan | STEAM</v>
      </c>
      <c r="J73" t="s">
        <v>172</v>
      </c>
    </row>
    <row r="74" spans="1:10" x14ac:dyDescent="0.3">
      <c r="A74" t="s">
        <v>46</v>
      </c>
      <c r="B74">
        <v>2</v>
      </c>
      <c r="C74" s="3">
        <v>46027</v>
      </c>
      <c r="D74" s="3">
        <v>46031</v>
      </c>
      <c r="E74" t="s">
        <v>82</v>
      </c>
      <c r="F74" t="s">
        <v>15</v>
      </c>
      <c r="G74" t="s">
        <v>173</v>
      </c>
      <c r="H74" t="s">
        <v>174</v>
      </c>
      <c r="I74" t="str">
        <f>Resumo[[#This Row],[Turma:]] &amp; " | " &amp; Resumo[[#This Row],[TextoSemana]] &amp; " | " &amp; Resumo[[#This Row],[Disciplina:]]</f>
        <v>9º ano E | Semana 2 - 05/jan a 09/jan | Programação e Robótica</v>
      </c>
      <c r="J74" t="s">
        <v>175</v>
      </c>
    </row>
    <row r="75" spans="1:10" x14ac:dyDescent="0.3">
      <c r="A75" t="s">
        <v>36</v>
      </c>
      <c r="B75">
        <v>2</v>
      </c>
      <c r="C75" s="3">
        <v>46027</v>
      </c>
      <c r="D75" s="3">
        <v>46031</v>
      </c>
      <c r="E75" t="s">
        <v>82</v>
      </c>
      <c r="F75" t="s">
        <v>70</v>
      </c>
      <c r="G75" t="s">
        <v>176</v>
      </c>
      <c r="H75" t="s">
        <v>177</v>
      </c>
      <c r="I75" t="str">
        <f>Resumo[[#This Row],[Turma:]] &amp; " | " &amp; Resumo[[#This Row],[TextoSemana]] &amp; " | " &amp; Resumo[[#This Row],[Disciplina:]]</f>
        <v>1º ano D - EM | Semana 2 - 05/jan a 09/jan | Empreendedorismo</v>
      </c>
      <c r="J75" t="s">
        <v>178</v>
      </c>
    </row>
    <row r="76" spans="1:10" x14ac:dyDescent="0.3">
      <c r="A76" t="s">
        <v>37</v>
      </c>
      <c r="B76">
        <v>2</v>
      </c>
      <c r="C76" s="3">
        <v>46027</v>
      </c>
      <c r="D76" s="3">
        <v>46031</v>
      </c>
      <c r="E76" t="s">
        <v>82</v>
      </c>
      <c r="F76" t="s">
        <v>70</v>
      </c>
      <c r="G76" t="s">
        <v>176</v>
      </c>
      <c r="H76" t="s">
        <v>177</v>
      </c>
      <c r="I76" t="str">
        <f>Resumo[[#This Row],[Turma:]] &amp; " | " &amp; Resumo[[#This Row],[TextoSemana]] &amp; " | " &amp; Resumo[[#This Row],[Disciplina:]]</f>
        <v>1º ano E - EM | Semana 2 - 05/jan a 09/jan | Empreendedorismo</v>
      </c>
      <c r="J76" t="s">
        <v>178</v>
      </c>
    </row>
    <row r="77" spans="1:10" x14ac:dyDescent="0.3">
      <c r="A77" t="s">
        <v>24</v>
      </c>
      <c r="B77">
        <v>3</v>
      </c>
      <c r="C77" s="3">
        <v>46034</v>
      </c>
      <c r="D77" s="3">
        <v>46038</v>
      </c>
      <c r="E77" t="s">
        <v>103</v>
      </c>
      <c r="F77" t="s">
        <v>6</v>
      </c>
      <c r="G77" t="s">
        <v>181</v>
      </c>
      <c r="H77" t="s">
        <v>182</v>
      </c>
      <c r="I77" t="str">
        <f>Resumo[[#This Row],[Turma:]] &amp; " | " &amp; Resumo[[#This Row],[TextoSemana]] &amp; " | " &amp; Resumo[[#This Row],[Disciplina:]]</f>
        <v>6º ano A | Semana 3 - 12/jan a 16/jan | Língua Portuguesa</v>
      </c>
      <c r="J77" t="s">
        <v>183</v>
      </c>
    </row>
    <row r="78" spans="1:10" x14ac:dyDescent="0.3">
      <c r="A78" t="s">
        <v>25</v>
      </c>
      <c r="B78">
        <v>3</v>
      </c>
      <c r="C78" s="3">
        <v>46034</v>
      </c>
      <c r="D78" s="3">
        <v>46038</v>
      </c>
      <c r="E78" t="s">
        <v>103</v>
      </c>
      <c r="F78" t="s">
        <v>6</v>
      </c>
      <c r="G78" t="s">
        <v>181</v>
      </c>
      <c r="H78" t="s">
        <v>182</v>
      </c>
      <c r="I78" t="str">
        <f>Resumo[[#This Row],[Turma:]] &amp; " | " &amp; Resumo[[#This Row],[TextoSemana]] &amp; " | " &amp; Resumo[[#This Row],[Disciplina:]]</f>
        <v>6º ano B | Semana 3 - 12/jan a 16/jan | Língua Portuguesa</v>
      </c>
      <c r="J78" t="s">
        <v>183</v>
      </c>
    </row>
    <row r="79" spans="1:10" x14ac:dyDescent="0.3">
      <c r="A79" t="s">
        <v>26</v>
      </c>
      <c r="B79">
        <v>3</v>
      </c>
      <c r="C79" s="3">
        <v>46034</v>
      </c>
      <c r="D79" s="3">
        <v>46038</v>
      </c>
      <c r="E79" t="s">
        <v>103</v>
      </c>
      <c r="F79" t="s">
        <v>6</v>
      </c>
      <c r="G79" t="s">
        <v>181</v>
      </c>
      <c r="H79" t="s">
        <v>182</v>
      </c>
      <c r="I79" t="str">
        <f>Resumo[[#This Row],[Turma:]] &amp; " | " &amp; Resumo[[#This Row],[TextoSemana]] &amp; " | " &amp; Resumo[[#This Row],[Disciplina:]]</f>
        <v>6º ano C | Semana 3 - 12/jan a 16/jan | Língua Portuguesa</v>
      </c>
      <c r="J79" t="s">
        <v>183</v>
      </c>
    </row>
    <row r="80" spans="1:10" x14ac:dyDescent="0.3">
      <c r="A80" t="s">
        <v>28</v>
      </c>
      <c r="B80">
        <v>1</v>
      </c>
      <c r="C80" s="3">
        <v>46020</v>
      </c>
      <c r="D80" s="3">
        <v>46024</v>
      </c>
      <c r="E80" t="s">
        <v>112</v>
      </c>
      <c r="F80" t="s">
        <v>7</v>
      </c>
      <c r="G80" t="s">
        <v>187</v>
      </c>
      <c r="H80" t="s">
        <v>188</v>
      </c>
      <c r="I80" t="str">
        <f>Resumo[[#This Row],[Turma:]] &amp; " | " &amp; Resumo[[#This Row],[TextoSemana]] &amp; " | " &amp; Resumo[[#This Row],[Disciplina:]]</f>
        <v>7º ano A | Semana 1 - 29/dez a 02/jan | Língua Inglesa</v>
      </c>
      <c r="J80" t="s">
        <v>130</v>
      </c>
    </row>
    <row r="81" spans="1:10" x14ac:dyDescent="0.3">
      <c r="A81" t="s">
        <v>29</v>
      </c>
      <c r="B81">
        <v>1</v>
      </c>
      <c r="C81" s="3">
        <v>46020</v>
      </c>
      <c r="D81" s="3">
        <v>46024</v>
      </c>
      <c r="E81" t="s">
        <v>112</v>
      </c>
      <c r="F81" t="s">
        <v>7</v>
      </c>
      <c r="G81" t="s">
        <v>187</v>
      </c>
      <c r="H81" t="s">
        <v>188</v>
      </c>
      <c r="I81" t="str">
        <f>Resumo[[#This Row],[Turma:]] &amp; " | " &amp; Resumo[[#This Row],[TextoSemana]] &amp; " | " &amp; Resumo[[#This Row],[Disciplina:]]</f>
        <v>7º ano B | Semana 1 - 29/dez a 02/jan | Língua Inglesa</v>
      </c>
      <c r="J81" t="s">
        <v>130</v>
      </c>
    </row>
    <row r="82" spans="1:10" x14ac:dyDescent="0.3">
      <c r="A82" t="s">
        <v>31</v>
      </c>
      <c r="B82">
        <v>1</v>
      </c>
      <c r="C82" s="3">
        <v>46020</v>
      </c>
      <c r="D82" s="3">
        <v>46024</v>
      </c>
      <c r="E82" t="s">
        <v>112</v>
      </c>
      <c r="F82" t="s">
        <v>7</v>
      </c>
      <c r="G82" t="s">
        <v>187</v>
      </c>
      <c r="H82" t="s">
        <v>188</v>
      </c>
      <c r="I82" t="str">
        <f>Resumo[[#This Row],[Turma:]] &amp; " | " &amp; Resumo[[#This Row],[TextoSemana]] &amp; " | " &amp; Resumo[[#This Row],[Disciplina:]]</f>
        <v>7º ano C | Semana 1 - 29/dez a 02/jan | Língua Inglesa</v>
      </c>
      <c r="J82" t="s">
        <v>130</v>
      </c>
    </row>
    <row r="83" spans="1:10" x14ac:dyDescent="0.3">
      <c r="A83" t="s">
        <v>30</v>
      </c>
      <c r="B83">
        <v>1</v>
      </c>
      <c r="C83" s="3">
        <v>46020</v>
      </c>
      <c r="D83" s="3">
        <v>46024</v>
      </c>
      <c r="E83" t="s">
        <v>112</v>
      </c>
      <c r="F83" t="s">
        <v>7</v>
      </c>
      <c r="G83" t="s">
        <v>187</v>
      </c>
      <c r="H83" t="s">
        <v>188</v>
      </c>
      <c r="I83" t="str">
        <f>Resumo[[#This Row],[Turma:]] &amp; " | " &amp; Resumo[[#This Row],[TextoSemana]] &amp; " | " &amp; Resumo[[#This Row],[Disciplina:]]</f>
        <v>7º ano D | Semana 1 - 29/dez a 02/jan | Língua Inglesa</v>
      </c>
      <c r="J83" t="s">
        <v>130</v>
      </c>
    </row>
    <row r="84" spans="1:10" x14ac:dyDescent="0.3">
      <c r="A84" t="s">
        <v>38</v>
      </c>
      <c r="B84">
        <v>1</v>
      </c>
      <c r="C84" s="3">
        <v>46020</v>
      </c>
      <c r="D84" s="3">
        <v>46024</v>
      </c>
      <c r="E84" t="s">
        <v>112</v>
      </c>
      <c r="F84" t="s">
        <v>7</v>
      </c>
      <c r="G84" t="s">
        <v>189</v>
      </c>
      <c r="H84" t="s">
        <v>190</v>
      </c>
      <c r="I84" t="str">
        <f>Resumo[[#This Row],[Turma:]] &amp; " | " &amp; Resumo[[#This Row],[TextoSemana]] &amp; " | " &amp; Resumo[[#This Row],[Disciplina:]]</f>
        <v>8º ano A | Semana 1 - 29/dez a 02/jan | Língua Inglesa</v>
      </c>
      <c r="J84" t="s">
        <v>130</v>
      </c>
    </row>
    <row r="85" spans="1:10" x14ac:dyDescent="0.3">
      <c r="A85" t="s">
        <v>39</v>
      </c>
      <c r="B85">
        <v>1</v>
      </c>
      <c r="C85" s="3">
        <v>46020</v>
      </c>
      <c r="D85" s="3">
        <v>46024</v>
      </c>
      <c r="E85" t="s">
        <v>112</v>
      </c>
      <c r="F85" t="s">
        <v>7</v>
      </c>
      <c r="G85" t="s">
        <v>189</v>
      </c>
      <c r="H85" t="s">
        <v>190</v>
      </c>
      <c r="I85" t="str">
        <f>Resumo[[#This Row],[Turma:]] &amp; " | " &amp; Resumo[[#This Row],[TextoSemana]] &amp; " | " &amp; Resumo[[#This Row],[Disciplina:]]</f>
        <v>8º ano B | Semana 1 - 29/dez a 02/jan | Língua Inglesa</v>
      </c>
      <c r="J85" t="s">
        <v>130</v>
      </c>
    </row>
    <row r="86" spans="1:10" x14ac:dyDescent="0.3">
      <c r="A86" t="s">
        <v>40</v>
      </c>
      <c r="B86">
        <v>1</v>
      </c>
      <c r="C86" s="3">
        <v>46020</v>
      </c>
      <c r="D86" s="3">
        <v>46024</v>
      </c>
      <c r="E86" t="s">
        <v>112</v>
      </c>
      <c r="F86" t="s">
        <v>7</v>
      </c>
      <c r="G86" t="s">
        <v>189</v>
      </c>
      <c r="H86" t="s">
        <v>190</v>
      </c>
      <c r="I86" t="str">
        <f>Resumo[[#This Row],[Turma:]] &amp; " | " &amp; Resumo[[#This Row],[TextoSemana]] &amp; " | " &amp; Resumo[[#This Row],[Disciplina:]]</f>
        <v>8º ano C | Semana 1 - 29/dez a 02/jan | Língua Inglesa</v>
      </c>
      <c r="J86" t="s">
        <v>130</v>
      </c>
    </row>
    <row r="87" spans="1:10" x14ac:dyDescent="0.3">
      <c r="A87" t="s">
        <v>41</v>
      </c>
      <c r="B87">
        <v>1</v>
      </c>
      <c r="C87" s="3">
        <v>46020</v>
      </c>
      <c r="D87" s="3">
        <v>46024</v>
      </c>
      <c r="E87" t="s">
        <v>112</v>
      </c>
      <c r="F87" t="s">
        <v>7</v>
      </c>
      <c r="G87" t="s">
        <v>189</v>
      </c>
      <c r="H87" t="s">
        <v>190</v>
      </c>
      <c r="I87" t="str">
        <f>Resumo[[#This Row],[Turma:]] &amp; " | " &amp; Resumo[[#This Row],[TextoSemana]] &amp; " | " &amp; Resumo[[#This Row],[Disciplina:]]</f>
        <v>8º ano D | Semana 1 - 29/dez a 02/jan | Língua Inglesa</v>
      </c>
      <c r="J87" t="s">
        <v>130</v>
      </c>
    </row>
    <row r="88" spans="1:10" x14ac:dyDescent="0.3">
      <c r="A88" t="s">
        <v>42</v>
      </c>
      <c r="B88">
        <v>1</v>
      </c>
      <c r="C88" s="3">
        <v>46020</v>
      </c>
      <c r="D88" s="3">
        <v>46024</v>
      </c>
      <c r="E88" t="s">
        <v>112</v>
      </c>
      <c r="F88" t="s">
        <v>7</v>
      </c>
      <c r="G88" t="s">
        <v>191</v>
      </c>
      <c r="H88" t="s">
        <v>190</v>
      </c>
      <c r="I88" t="str">
        <f>Resumo[[#This Row],[Turma:]] &amp; " | " &amp; Resumo[[#This Row],[TextoSemana]] &amp; " | " &amp; Resumo[[#This Row],[Disciplina:]]</f>
        <v>9º ano A | Semana 1 - 29/dez a 02/jan | Língua Inglesa</v>
      </c>
      <c r="J88" t="s">
        <v>130</v>
      </c>
    </row>
    <row r="89" spans="1:10" x14ac:dyDescent="0.3">
      <c r="A89" t="s">
        <v>43</v>
      </c>
      <c r="B89">
        <v>1</v>
      </c>
      <c r="C89" s="3">
        <v>46020</v>
      </c>
      <c r="D89" s="3">
        <v>46024</v>
      </c>
      <c r="E89" t="s">
        <v>112</v>
      </c>
      <c r="F89" t="s">
        <v>7</v>
      </c>
      <c r="G89" t="s">
        <v>191</v>
      </c>
      <c r="H89" t="s">
        <v>190</v>
      </c>
      <c r="I89" t="str">
        <f>Resumo[[#This Row],[Turma:]] &amp; " | " &amp; Resumo[[#This Row],[TextoSemana]] &amp; " | " &amp; Resumo[[#This Row],[Disciplina:]]</f>
        <v>9º ano B | Semana 1 - 29/dez a 02/jan | Língua Inglesa</v>
      </c>
      <c r="J89" t="s">
        <v>130</v>
      </c>
    </row>
    <row r="90" spans="1:10" x14ac:dyDescent="0.3">
      <c r="A90" t="s">
        <v>44</v>
      </c>
      <c r="B90">
        <v>1</v>
      </c>
      <c r="C90" s="3">
        <v>46020</v>
      </c>
      <c r="D90" s="3">
        <v>46024</v>
      </c>
      <c r="E90" t="s">
        <v>112</v>
      </c>
      <c r="F90" t="s">
        <v>7</v>
      </c>
      <c r="G90" t="s">
        <v>191</v>
      </c>
      <c r="H90" t="s">
        <v>190</v>
      </c>
      <c r="I90" t="str">
        <f>Resumo[[#This Row],[Turma:]] &amp; " | " &amp; Resumo[[#This Row],[TextoSemana]] &amp; " | " &amp; Resumo[[#This Row],[Disciplina:]]</f>
        <v>9º ano C | Semana 1 - 29/dez a 02/jan | Língua Inglesa</v>
      </c>
      <c r="J90" t="s">
        <v>130</v>
      </c>
    </row>
    <row r="91" spans="1:10" x14ac:dyDescent="0.3">
      <c r="A91" t="s">
        <v>45</v>
      </c>
      <c r="B91">
        <v>1</v>
      </c>
      <c r="C91" s="3">
        <v>46020</v>
      </c>
      <c r="D91" s="3">
        <v>46024</v>
      </c>
      <c r="E91" t="s">
        <v>112</v>
      </c>
      <c r="F91" t="s">
        <v>7</v>
      </c>
      <c r="G91" t="s">
        <v>191</v>
      </c>
      <c r="H91" t="s">
        <v>190</v>
      </c>
      <c r="I91" t="str">
        <f>Resumo[[#This Row],[Turma:]] &amp; " | " &amp; Resumo[[#This Row],[TextoSemana]] &amp; " | " &amp; Resumo[[#This Row],[Disciplina:]]</f>
        <v>9º ano D | Semana 1 - 29/dez a 02/jan | Língua Inglesa</v>
      </c>
      <c r="J91" t="s">
        <v>130</v>
      </c>
    </row>
    <row r="92" spans="1:10" x14ac:dyDescent="0.3">
      <c r="A92" t="s">
        <v>46</v>
      </c>
      <c r="B92">
        <v>1</v>
      </c>
      <c r="C92" s="3">
        <v>46020</v>
      </c>
      <c r="D92" s="3">
        <v>46024</v>
      </c>
      <c r="E92" t="s">
        <v>112</v>
      </c>
      <c r="F92" t="s">
        <v>7</v>
      </c>
      <c r="G92" t="s">
        <v>191</v>
      </c>
      <c r="H92" t="s">
        <v>190</v>
      </c>
      <c r="I92" t="str">
        <f>Resumo[[#This Row],[Turma:]] &amp; " | " &amp; Resumo[[#This Row],[TextoSemana]] &amp; " | " &amp; Resumo[[#This Row],[Disciplina:]]</f>
        <v>9º ano E | Semana 1 - 29/dez a 02/jan | Língua Inglesa</v>
      </c>
      <c r="J92" t="s">
        <v>130</v>
      </c>
    </row>
    <row r="93" spans="1:10" x14ac:dyDescent="0.3">
      <c r="A93" t="s">
        <v>33</v>
      </c>
      <c r="B93">
        <v>1</v>
      </c>
      <c r="C93" s="3">
        <v>46020</v>
      </c>
      <c r="D93" s="3">
        <v>46024</v>
      </c>
      <c r="E93" t="s">
        <v>112</v>
      </c>
      <c r="F93" t="s">
        <v>7</v>
      </c>
      <c r="G93" t="s">
        <v>192</v>
      </c>
      <c r="H93" t="s">
        <v>193</v>
      </c>
      <c r="I93" t="str">
        <f>Resumo[[#This Row],[Turma:]] &amp; " | " &amp; Resumo[[#This Row],[TextoSemana]] &amp; " | " &amp; Resumo[[#This Row],[Disciplina:]]</f>
        <v>1º ano A - EM | Semana 1 - 29/dez a 02/jan | Língua Inglesa</v>
      </c>
      <c r="J93" t="s">
        <v>130</v>
      </c>
    </row>
    <row r="94" spans="1:10" x14ac:dyDescent="0.3">
      <c r="A94" t="s">
        <v>34</v>
      </c>
      <c r="B94">
        <v>1</v>
      </c>
      <c r="C94" s="3">
        <v>46020</v>
      </c>
      <c r="D94" s="3">
        <v>46024</v>
      </c>
      <c r="E94" t="s">
        <v>112</v>
      </c>
      <c r="F94" t="s">
        <v>7</v>
      </c>
      <c r="G94" t="s">
        <v>192</v>
      </c>
      <c r="H94" t="s">
        <v>193</v>
      </c>
      <c r="I94" t="str">
        <f>Resumo[[#This Row],[Turma:]] &amp; " | " &amp; Resumo[[#This Row],[TextoSemana]] &amp; " | " &amp; Resumo[[#This Row],[Disciplina:]]</f>
        <v>1º ano B - EM | Semana 1 - 29/dez a 02/jan | Língua Inglesa</v>
      </c>
      <c r="J94" t="s">
        <v>130</v>
      </c>
    </row>
    <row r="95" spans="1:10" x14ac:dyDescent="0.3">
      <c r="A95" t="s">
        <v>35</v>
      </c>
      <c r="B95">
        <v>1</v>
      </c>
      <c r="C95" s="3">
        <v>46020</v>
      </c>
      <c r="D95" s="3">
        <v>46024</v>
      </c>
      <c r="E95" t="s">
        <v>112</v>
      </c>
      <c r="F95" t="s">
        <v>7</v>
      </c>
      <c r="G95" t="s">
        <v>192</v>
      </c>
      <c r="H95" t="s">
        <v>193</v>
      </c>
      <c r="I95" t="str">
        <f>Resumo[[#This Row],[Turma:]] &amp; " | " &amp; Resumo[[#This Row],[TextoSemana]] &amp; " | " &amp; Resumo[[#This Row],[Disciplina:]]</f>
        <v>1º ano C - EM | Semana 1 - 29/dez a 02/jan | Língua Inglesa</v>
      </c>
      <c r="J95" t="s">
        <v>130</v>
      </c>
    </row>
    <row r="96" spans="1:10" x14ac:dyDescent="0.3">
      <c r="A96" t="s">
        <v>36</v>
      </c>
      <c r="B96">
        <v>1</v>
      </c>
      <c r="C96" s="3">
        <v>46020</v>
      </c>
      <c r="D96" s="3">
        <v>46024</v>
      </c>
      <c r="E96" t="s">
        <v>112</v>
      </c>
      <c r="F96" t="s">
        <v>7</v>
      </c>
      <c r="G96" t="s">
        <v>192</v>
      </c>
      <c r="H96" t="s">
        <v>193</v>
      </c>
      <c r="I96" t="str">
        <f>Resumo[[#This Row],[Turma:]] &amp; " | " &amp; Resumo[[#This Row],[TextoSemana]] &amp; " | " &amp; Resumo[[#This Row],[Disciplina:]]</f>
        <v>1º ano D - EM | Semana 1 - 29/dez a 02/jan | Língua Inglesa</v>
      </c>
      <c r="J96" t="s">
        <v>130</v>
      </c>
    </row>
    <row r="97" spans="1:10" x14ac:dyDescent="0.3">
      <c r="A97" t="s">
        <v>37</v>
      </c>
      <c r="B97">
        <v>1</v>
      </c>
      <c r="C97" s="3">
        <v>46020</v>
      </c>
      <c r="D97" s="3">
        <v>46024</v>
      </c>
      <c r="E97" t="s">
        <v>112</v>
      </c>
      <c r="F97" t="s">
        <v>7</v>
      </c>
      <c r="G97" t="s">
        <v>192</v>
      </c>
      <c r="H97" t="s">
        <v>193</v>
      </c>
      <c r="I97" t="str">
        <f>Resumo[[#This Row],[Turma:]] &amp; " | " &amp; Resumo[[#This Row],[TextoSemana]] &amp; " | " &amp; Resumo[[#This Row],[Disciplina:]]</f>
        <v>1º ano E - EM | Semana 1 - 29/dez a 02/jan | Língua Inglesa</v>
      </c>
      <c r="J97" t="s">
        <v>130</v>
      </c>
    </row>
    <row r="98" spans="1:10" x14ac:dyDescent="0.3">
      <c r="A98" t="s">
        <v>33</v>
      </c>
      <c r="B98">
        <v>9</v>
      </c>
      <c r="C98" s="3">
        <v>46076</v>
      </c>
      <c r="D98" s="3">
        <v>46080</v>
      </c>
      <c r="E98" t="s">
        <v>202</v>
      </c>
      <c r="F98" t="s">
        <v>8</v>
      </c>
      <c r="G98" t="s">
        <v>198</v>
      </c>
      <c r="H98" t="s">
        <v>199</v>
      </c>
      <c r="I98" t="str">
        <f>Resumo[[#This Row],[Turma:]] &amp; " | " &amp; Resumo[[#This Row],[TextoSemana]] &amp; " | " &amp; Resumo[[#This Row],[Disciplina:]]</f>
        <v>1º ano A - EM | Semana 9 - 23/fev a 27/fev | Arte</v>
      </c>
      <c r="J98" t="s">
        <v>200</v>
      </c>
    </row>
    <row r="99" spans="1:10" x14ac:dyDescent="0.3">
      <c r="A99" t="s">
        <v>34</v>
      </c>
      <c r="B99">
        <v>9</v>
      </c>
      <c r="C99" s="3">
        <v>46076</v>
      </c>
      <c r="D99" s="3">
        <v>46080</v>
      </c>
      <c r="E99" t="s">
        <v>202</v>
      </c>
      <c r="F99" t="s">
        <v>8</v>
      </c>
      <c r="G99" t="s">
        <v>198</v>
      </c>
      <c r="H99" t="s">
        <v>199</v>
      </c>
      <c r="I99" t="str">
        <f>Resumo[[#This Row],[Turma:]] &amp; " | " &amp; Resumo[[#This Row],[TextoSemana]] &amp; " | " &amp; Resumo[[#This Row],[Disciplina:]]</f>
        <v>1º ano B - EM | Semana 9 - 23/fev a 27/fev | Arte</v>
      </c>
      <c r="J99" t="s">
        <v>200</v>
      </c>
    </row>
    <row r="100" spans="1:10" x14ac:dyDescent="0.3">
      <c r="A100" t="s">
        <v>35</v>
      </c>
      <c r="B100">
        <v>9</v>
      </c>
      <c r="C100" s="3">
        <v>46076</v>
      </c>
      <c r="D100" s="3">
        <v>46080</v>
      </c>
      <c r="E100" t="s">
        <v>202</v>
      </c>
      <c r="F100" t="s">
        <v>8</v>
      </c>
      <c r="G100" t="s">
        <v>198</v>
      </c>
      <c r="H100" t="s">
        <v>199</v>
      </c>
      <c r="I100" t="str">
        <f>Resumo[[#This Row],[Turma:]] &amp; " | " &amp; Resumo[[#This Row],[TextoSemana]] &amp; " | " &amp; Resumo[[#This Row],[Disciplina:]]</f>
        <v>1º ano C - EM | Semana 9 - 23/fev a 27/fev | Arte</v>
      </c>
      <c r="J100" t="s">
        <v>200</v>
      </c>
    </row>
    <row r="101" spans="1:10" x14ac:dyDescent="0.3">
      <c r="A101" t="s">
        <v>36</v>
      </c>
      <c r="B101">
        <v>9</v>
      </c>
      <c r="C101" s="3">
        <v>46076</v>
      </c>
      <c r="D101" s="3">
        <v>46080</v>
      </c>
      <c r="E101" t="s">
        <v>202</v>
      </c>
      <c r="F101" t="s">
        <v>8</v>
      </c>
      <c r="G101" t="s">
        <v>198</v>
      </c>
      <c r="H101" t="s">
        <v>199</v>
      </c>
      <c r="I101" t="str">
        <f>Resumo[[#This Row],[Turma:]] &amp; " | " &amp; Resumo[[#This Row],[TextoSemana]] &amp; " | " &amp; Resumo[[#This Row],[Disciplina:]]</f>
        <v>1º ano D - EM | Semana 9 - 23/fev a 27/fev | Arte</v>
      </c>
      <c r="J101" t="s">
        <v>200</v>
      </c>
    </row>
    <row r="102" spans="1:10" x14ac:dyDescent="0.3">
      <c r="A102" t="s">
        <v>37</v>
      </c>
      <c r="B102">
        <v>9</v>
      </c>
      <c r="C102" s="3">
        <v>46076</v>
      </c>
      <c r="D102" s="3">
        <v>46080</v>
      </c>
      <c r="E102" t="s">
        <v>202</v>
      </c>
      <c r="F102" t="s">
        <v>8</v>
      </c>
      <c r="G102" t="s">
        <v>198</v>
      </c>
      <c r="H102" t="s">
        <v>199</v>
      </c>
      <c r="I102" t="str">
        <f>Resumo[[#This Row],[Turma:]] &amp; " | " &amp; Resumo[[#This Row],[TextoSemana]] &amp; " | " &amp; Resumo[[#This Row],[Disciplina:]]</f>
        <v>1º ano E - EM | Semana 9 - 23/fev a 27/fev | Arte</v>
      </c>
      <c r="J102" t="s">
        <v>200</v>
      </c>
    </row>
    <row r="103" spans="1:10" x14ac:dyDescent="0.3">
      <c r="A103" t="s">
        <v>42</v>
      </c>
      <c r="B103">
        <v>9</v>
      </c>
      <c r="C103" s="3">
        <v>46076</v>
      </c>
      <c r="D103" s="3">
        <v>46080</v>
      </c>
      <c r="E103" t="s">
        <v>202</v>
      </c>
      <c r="F103" t="s">
        <v>8</v>
      </c>
      <c r="G103" t="s">
        <v>203</v>
      </c>
      <c r="H103" t="s">
        <v>204</v>
      </c>
      <c r="I103" t="str">
        <f>Resumo[[#This Row],[Turma:]] &amp; " | " &amp; Resumo[[#This Row],[TextoSemana]] &amp; " | " &amp; Resumo[[#This Row],[Disciplina:]]</f>
        <v>9º ano A | Semana 9 - 23/fev a 27/fev | Arte</v>
      </c>
      <c r="J103" t="s">
        <v>205</v>
      </c>
    </row>
    <row r="104" spans="1:10" x14ac:dyDescent="0.3">
      <c r="A104" t="s">
        <v>43</v>
      </c>
      <c r="B104">
        <v>9</v>
      </c>
      <c r="C104" s="3">
        <v>46076</v>
      </c>
      <c r="D104" s="3">
        <v>46080</v>
      </c>
      <c r="E104" t="s">
        <v>202</v>
      </c>
      <c r="F104" t="s">
        <v>8</v>
      </c>
      <c r="G104" t="s">
        <v>203</v>
      </c>
      <c r="H104" t="s">
        <v>204</v>
      </c>
      <c r="I104" t="str">
        <f>Resumo[[#This Row],[Turma:]] &amp; " | " &amp; Resumo[[#This Row],[TextoSemana]] &amp; " | " &amp; Resumo[[#This Row],[Disciplina:]]</f>
        <v>9º ano B | Semana 9 - 23/fev a 27/fev | Arte</v>
      </c>
      <c r="J104" t="s">
        <v>205</v>
      </c>
    </row>
    <row r="105" spans="1:10" x14ac:dyDescent="0.3">
      <c r="A105" t="s">
        <v>44</v>
      </c>
      <c r="B105">
        <v>9</v>
      </c>
      <c r="C105" s="3">
        <v>46076</v>
      </c>
      <c r="D105" s="3">
        <v>46080</v>
      </c>
      <c r="E105" t="s">
        <v>202</v>
      </c>
      <c r="F105" t="s">
        <v>8</v>
      </c>
      <c r="G105" t="s">
        <v>203</v>
      </c>
      <c r="H105" t="s">
        <v>204</v>
      </c>
      <c r="I105" t="str">
        <f>Resumo[[#This Row],[Turma:]] &amp; " | " &amp; Resumo[[#This Row],[TextoSemana]] &amp; " | " &amp; Resumo[[#This Row],[Disciplina:]]</f>
        <v>9º ano C | Semana 9 - 23/fev a 27/fev | Arte</v>
      </c>
      <c r="J105" t="s">
        <v>205</v>
      </c>
    </row>
    <row r="106" spans="1:10" x14ac:dyDescent="0.3">
      <c r="A106" t="s">
        <v>45</v>
      </c>
      <c r="B106">
        <v>9</v>
      </c>
      <c r="C106" s="3">
        <v>46076</v>
      </c>
      <c r="D106" s="3">
        <v>46080</v>
      </c>
      <c r="E106" t="s">
        <v>202</v>
      </c>
      <c r="F106" t="s">
        <v>8</v>
      </c>
      <c r="G106" t="s">
        <v>203</v>
      </c>
      <c r="H106" t="s">
        <v>204</v>
      </c>
      <c r="I106" t="str">
        <f>Resumo[[#This Row],[Turma:]] &amp; " | " &amp; Resumo[[#This Row],[TextoSemana]] &amp; " | " &amp; Resumo[[#This Row],[Disciplina:]]</f>
        <v>9º ano D | Semana 9 - 23/fev a 27/fev | Arte</v>
      </c>
      <c r="J106" t="s">
        <v>205</v>
      </c>
    </row>
    <row r="107" spans="1:10" x14ac:dyDescent="0.3">
      <c r="A107" t="s">
        <v>46</v>
      </c>
      <c r="B107">
        <v>9</v>
      </c>
      <c r="C107" s="3">
        <v>46076</v>
      </c>
      <c r="D107" s="3">
        <v>46080</v>
      </c>
      <c r="E107" t="s">
        <v>202</v>
      </c>
      <c r="F107" t="s">
        <v>8</v>
      </c>
      <c r="G107" t="s">
        <v>203</v>
      </c>
      <c r="H107" t="s">
        <v>204</v>
      </c>
      <c r="I107" t="str">
        <f>Resumo[[#This Row],[Turma:]] &amp; " | " &amp; Resumo[[#This Row],[TextoSemana]] &amp; " | " &amp; Resumo[[#This Row],[Disciplina:]]</f>
        <v>9º ano E | Semana 9 - 23/fev a 27/fev | Arte</v>
      </c>
      <c r="J107" t="s">
        <v>205</v>
      </c>
    </row>
    <row r="108" spans="1:10" x14ac:dyDescent="0.3">
      <c r="A108" t="s">
        <v>47</v>
      </c>
      <c r="B108">
        <v>9</v>
      </c>
      <c r="C108" s="3">
        <v>46076</v>
      </c>
      <c r="D108" s="3">
        <v>46080</v>
      </c>
      <c r="E108" t="s">
        <v>202</v>
      </c>
      <c r="F108" t="s">
        <v>8</v>
      </c>
      <c r="G108" t="s">
        <v>206</v>
      </c>
      <c r="H108" t="s">
        <v>207</v>
      </c>
      <c r="I108" t="str">
        <f>Resumo[[#This Row],[Turma:]] &amp; " | " &amp; Resumo[[#This Row],[TextoSemana]] &amp; " | " &amp; Resumo[[#This Row],[Disciplina:]]</f>
        <v>2º ano A - EM | Semana 9 - 23/fev a 27/fev | Arte</v>
      </c>
      <c r="J108" t="s">
        <v>208</v>
      </c>
    </row>
    <row r="109" spans="1:10" x14ac:dyDescent="0.3">
      <c r="A109" t="s">
        <v>48</v>
      </c>
      <c r="B109">
        <v>9</v>
      </c>
      <c r="C109" s="3">
        <v>46076</v>
      </c>
      <c r="D109" s="3">
        <v>46080</v>
      </c>
      <c r="E109" t="s">
        <v>202</v>
      </c>
      <c r="F109" t="s">
        <v>8</v>
      </c>
      <c r="G109" t="s">
        <v>206</v>
      </c>
      <c r="H109" t="s">
        <v>207</v>
      </c>
      <c r="I109" t="str">
        <f>Resumo[[#This Row],[Turma:]] &amp; " | " &amp; Resumo[[#This Row],[TextoSemana]] &amp; " | " &amp; Resumo[[#This Row],[Disciplina:]]</f>
        <v>2º ano B - EM | Semana 9 - 23/fev a 27/fev | Arte</v>
      </c>
      <c r="J109" t="s">
        <v>208</v>
      </c>
    </row>
    <row r="110" spans="1:10" x14ac:dyDescent="0.3">
      <c r="A110" t="s">
        <v>49</v>
      </c>
      <c r="B110">
        <v>9</v>
      </c>
      <c r="C110" s="3">
        <v>46076</v>
      </c>
      <c r="D110" s="3">
        <v>46080</v>
      </c>
      <c r="E110" t="s">
        <v>202</v>
      </c>
      <c r="F110" t="s">
        <v>8</v>
      </c>
      <c r="G110" t="s">
        <v>206</v>
      </c>
      <c r="H110" t="s">
        <v>207</v>
      </c>
      <c r="I110" t="str">
        <f>Resumo[[#This Row],[Turma:]] &amp; " | " &amp; Resumo[[#This Row],[TextoSemana]] &amp; " | " &amp; Resumo[[#This Row],[Disciplina:]]</f>
        <v>2º ano C - EM | Semana 9 - 23/fev a 27/fev | Arte</v>
      </c>
      <c r="J110" t="s">
        <v>208</v>
      </c>
    </row>
    <row r="111" spans="1:10" x14ac:dyDescent="0.3">
      <c r="A111" t="s">
        <v>50</v>
      </c>
      <c r="B111">
        <v>9</v>
      </c>
      <c r="C111" s="3">
        <v>46076</v>
      </c>
      <c r="D111" s="3">
        <v>46080</v>
      </c>
      <c r="E111" t="s">
        <v>202</v>
      </c>
      <c r="F111" t="s">
        <v>8</v>
      </c>
      <c r="G111" t="s">
        <v>206</v>
      </c>
      <c r="H111" t="s">
        <v>207</v>
      </c>
      <c r="I111" t="str">
        <f>Resumo[[#This Row],[Turma:]] &amp; " | " &amp; Resumo[[#This Row],[TextoSemana]] &amp; " | " &amp; Resumo[[#This Row],[Disciplina:]]</f>
        <v>2º ano D - EM | Semana 9 - 23/fev a 27/fev | Arte</v>
      </c>
      <c r="J111" t="s">
        <v>208</v>
      </c>
    </row>
    <row r="112" spans="1:10" x14ac:dyDescent="0.3">
      <c r="A112" t="s">
        <v>51</v>
      </c>
      <c r="B112">
        <v>9</v>
      </c>
      <c r="C112" s="3">
        <v>46076</v>
      </c>
      <c r="D112" s="3">
        <v>46080</v>
      </c>
      <c r="E112" t="s">
        <v>202</v>
      </c>
      <c r="F112" t="s">
        <v>8</v>
      </c>
      <c r="G112" t="s">
        <v>206</v>
      </c>
      <c r="H112" t="s">
        <v>207</v>
      </c>
      <c r="I112" t="str">
        <f>Resumo[[#This Row],[Turma:]] &amp; " | " &amp; Resumo[[#This Row],[TextoSemana]] &amp; " | " &amp; Resumo[[#This Row],[Disciplina:]]</f>
        <v>2º ano E - EM | Semana 9 - 23/fev a 27/fev | Arte</v>
      </c>
      <c r="J112" t="s">
        <v>208</v>
      </c>
    </row>
    <row r="113" spans="1:10" x14ac:dyDescent="0.3">
      <c r="A113" t="s">
        <v>24</v>
      </c>
      <c r="B113">
        <v>4</v>
      </c>
      <c r="C113" s="3">
        <v>46041</v>
      </c>
      <c r="D113" s="3">
        <v>46045</v>
      </c>
      <c r="E113" t="s">
        <v>212</v>
      </c>
      <c r="F113" t="s">
        <v>13</v>
      </c>
      <c r="G113" t="s">
        <v>209</v>
      </c>
      <c r="H113" t="s">
        <v>210</v>
      </c>
      <c r="I113" t="str">
        <f>Resumo[[#This Row],[Turma:]] &amp; " | " &amp; Resumo[[#This Row],[TextoSemana]] &amp; " | " &amp; Resumo[[#This Row],[Disciplina:]]</f>
        <v>6º ano A | Semana 4 - 19/jan a 23/jan | Ciências da Natureza</v>
      </c>
      <c r="J113" t="s">
        <v>130</v>
      </c>
    </row>
    <row r="114" spans="1:10" x14ac:dyDescent="0.3">
      <c r="A114" t="s">
        <v>25</v>
      </c>
      <c r="B114">
        <v>4</v>
      </c>
      <c r="C114" s="3">
        <v>46041</v>
      </c>
      <c r="D114" s="3">
        <v>46045</v>
      </c>
      <c r="E114" t="s">
        <v>212</v>
      </c>
      <c r="F114" t="s">
        <v>13</v>
      </c>
      <c r="G114" t="s">
        <v>209</v>
      </c>
      <c r="H114" t="s">
        <v>210</v>
      </c>
      <c r="I114" t="str">
        <f>Resumo[[#This Row],[Turma:]] &amp; " | " &amp; Resumo[[#This Row],[TextoSemana]] &amp; " | " &amp; Resumo[[#This Row],[Disciplina:]]</f>
        <v>6º ano B | Semana 4 - 19/jan a 23/jan | Ciências da Natureza</v>
      </c>
      <c r="J114" t="s">
        <v>130</v>
      </c>
    </row>
    <row r="115" spans="1:10" x14ac:dyDescent="0.3">
      <c r="A115" t="s">
        <v>26</v>
      </c>
      <c r="B115">
        <v>4</v>
      </c>
      <c r="C115" s="3">
        <v>46041</v>
      </c>
      <c r="D115" s="3">
        <v>46045</v>
      </c>
      <c r="E115" t="s">
        <v>212</v>
      </c>
      <c r="F115" t="s">
        <v>13</v>
      </c>
      <c r="G115" t="s">
        <v>209</v>
      </c>
      <c r="H115" t="s">
        <v>210</v>
      </c>
      <c r="I115" t="str">
        <f>Resumo[[#This Row],[Turma:]] &amp; " | " &amp; Resumo[[#This Row],[TextoSemana]] &amp; " | " &amp; Resumo[[#This Row],[Disciplina:]]</f>
        <v>6º ano C | Semana 4 - 19/jan a 23/jan | Ciências da Natureza</v>
      </c>
      <c r="J115" t="s">
        <v>130</v>
      </c>
    </row>
    <row r="116" spans="1:10" x14ac:dyDescent="0.3">
      <c r="A116" t="s">
        <v>27</v>
      </c>
      <c r="B116">
        <v>4</v>
      </c>
      <c r="C116" s="3">
        <v>46041</v>
      </c>
      <c r="D116" s="3">
        <v>46045</v>
      </c>
      <c r="E116" t="s">
        <v>212</v>
      </c>
      <c r="F116" t="s">
        <v>13</v>
      </c>
      <c r="G116" t="s">
        <v>209</v>
      </c>
      <c r="H116" t="s">
        <v>210</v>
      </c>
      <c r="I116" t="str">
        <f>Resumo[[#This Row],[Turma:]] &amp; " | " &amp; Resumo[[#This Row],[TextoSemana]] &amp; " | " &amp; Resumo[[#This Row],[Disciplina:]]</f>
        <v>6º ano D | Semana 4 - 19/jan a 23/jan | Ciências da Natureza</v>
      </c>
      <c r="J116" t="s">
        <v>130</v>
      </c>
    </row>
    <row r="117" spans="1:10" x14ac:dyDescent="0.3">
      <c r="A117" t="s">
        <v>38</v>
      </c>
      <c r="B117">
        <v>4</v>
      </c>
      <c r="C117" s="3">
        <v>46041</v>
      </c>
      <c r="D117" s="3">
        <v>46045</v>
      </c>
      <c r="E117" t="s">
        <v>212</v>
      </c>
      <c r="F117" t="s">
        <v>14</v>
      </c>
      <c r="G117" t="s">
        <v>213</v>
      </c>
      <c r="H117" t="s">
        <v>130</v>
      </c>
      <c r="I117" t="str">
        <f>Resumo[[#This Row],[Turma:]] &amp; " | " &amp; Resumo[[#This Row],[TextoSemana]] &amp; " | " &amp; Resumo[[#This Row],[Disciplina:]]</f>
        <v>8º ano A | Semana 4 - 19/jan a 23/jan | STEAM</v>
      </c>
      <c r="J117" t="s">
        <v>130</v>
      </c>
    </row>
    <row r="118" spans="1:10" x14ac:dyDescent="0.3">
      <c r="A118" t="s">
        <v>39</v>
      </c>
      <c r="B118">
        <v>4</v>
      </c>
      <c r="C118" s="3">
        <v>46041</v>
      </c>
      <c r="D118" s="3">
        <v>46045</v>
      </c>
      <c r="E118" t="s">
        <v>212</v>
      </c>
      <c r="F118" t="s">
        <v>14</v>
      </c>
      <c r="G118" t="s">
        <v>213</v>
      </c>
      <c r="H118" t="s">
        <v>130</v>
      </c>
      <c r="I118" t="str">
        <f>Resumo[[#This Row],[Turma:]] &amp; " | " &amp; Resumo[[#This Row],[TextoSemana]] &amp; " | " &amp; Resumo[[#This Row],[Disciplina:]]</f>
        <v>8º ano B | Semana 4 - 19/jan a 23/jan | STEAM</v>
      </c>
      <c r="J118" t="s">
        <v>130</v>
      </c>
    </row>
    <row r="119" spans="1:10" x14ac:dyDescent="0.3">
      <c r="A119" t="s">
        <v>40</v>
      </c>
      <c r="B119">
        <v>4</v>
      </c>
      <c r="C119" s="3">
        <v>46041</v>
      </c>
      <c r="D119" s="3">
        <v>46045</v>
      </c>
      <c r="E119" t="s">
        <v>212</v>
      </c>
      <c r="F119" t="s">
        <v>14</v>
      </c>
      <c r="G119" t="s">
        <v>213</v>
      </c>
      <c r="H119" t="s">
        <v>130</v>
      </c>
      <c r="I119" t="str">
        <f>Resumo[[#This Row],[Turma:]] &amp; " | " &amp; Resumo[[#This Row],[TextoSemana]] &amp; " | " &amp; Resumo[[#This Row],[Disciplina:]]</f>
        <v>8º ano C | Semana 4 - 19/jan a 23/jan | STEAM</v>
      </c>
      <c r="J119" t="s">
        <v>130</v>
      </c>
    </row>
    <row r="120" spans="1:10" x14ac:dyDescent="0.3">
      <c r="A120" t="s">
        <v>42</v>
      </c>
      <c r="B120">
        <v>4</v>
      </c>
      <c r="C120" s="3">
        <v>46041</v>
      </c>
      <c r="D120" s="3">
        <v>46045</v>
      </c>
      <c r="E120" t="s">
        <v>212</v>
      </c>
      <c r="F120" t="s">
        <v>14</v>
      </c>
      <c r="G120" t="s">
        <v>213</v>
      </c>
      <c r="H120" t="s">
        <v>130</v>
      </c>
      <c r="I120" t="str">
        <f>Resumo[[#This Row],[Turma:]] &amp; " | " &amp; Resumo[[#This Row],[TextoSemana]] &amp; " | " &amp; Resumo[[#This Row],[Disciplina:]]</f>
        <v>9º ano A | Semana 4 - 19/jan a 23/jan | STEAM</v>
      </c>
      <c r="J120" t="s">
        <v>130</v>
      </c>
    </row>
    <row r="121" spans="1:10" x14ac:dyDescent="0.3">
      <c r="A121" t="s">
        <v>43</v>
      </c>
      <c r="B121">
        <v>4</v>
      </c>
      <c r="C121" s="3">
        <v>46041</v>
      </c>
      <c r="D121" s="3">
        <v>46045</v>
      </c>
      <c r="E121" t="s">
        <v>212</v>
      </c>
      <c r="F121" t="s">
        <v>14</v>
      </c>
      <c r="G121" t="s">
        <v>213</v>
      </c>
      <c r="H121" t="s">
        <v>130</v>
      </c>
      <c r="I121" t="str">
        <f>Resumo[[#This Row],[Turma:]] &amp; " | " &amp; Resumo[[#This Row],[TextoSemana]] &amp; " | " &amp; Resumo[[#This Row],[Disciplina:]]</f>
        <v>9º ano B | Semana 4 - 19/jan a 23/jan | STEAM</v>
      </c>
      <c r="J121" t="s">
        <v>130</v>
      </c>
    </row>
    <row r="122" spans="1:10" x14ac:dyDescent="0.3">
      <c r="A122" t="s">
        <v>38</v>
      </c>
      <c r="B122">
        <v>4</v>
      </c>
      <c r="C122" s="3">
        <v>46041</v>
      </c>
      <c r="D122" s="3">
        <v>46045</v>
      </c>
      <c r="E122" t="s">
        <v>212</v>
      </c>
      <c r="F122" t="s">
        <v>13</v>
      </c>
      <c r="G122" t="s">
        <v>214</v>
      </c>
      <c r="H122" t="s">
        <v>215</v>
      </c>
      <c r="I122" t="str">
        <f>Resumo[[#This Row],[Turma:]] &amp; " | " &amp; Resumo[[#This Row],[TextoSemana]] &amp; " | " &amp; Resumo[[#This Row],[Disciplina:]]</f>
        <v>8º ano A | Semana 4 - 19/jan a 23/jan | Ciências da Natureza</v>
      </c>
      <c r="J122" t="s">
        <v>130</v>
      </c>
    </row>
    <row r="123" spans="1:10" x14ac:dyDescent="0.3">
      <c r="A123" t="s">
        <v>39</v>
      </c>
      <c r="B123">
        <v>4</v>
      </c>
      <c r="C123" s="3">
        <v>46041</v>
      </c>
      <c r="D123" s="3">
        <v>46045</v>
      </c>
      <c r="E123" t="s">
        <v>212</v>
      </c>
      <c r="F123" t="s">
        <v>13</v>
      </c>
      <c r="G123" t="s">
        <v>214</v>
      </c>
      <c r="H123" t="s">
        <v>215</v>
      </c>
      <c r="I123" t="str">
        <f>Resumo[[#This Row],[Turma:]] &amp; " | " &amp; Resumo[[#This Row],[TextoSemana]] &amp; " | " &amp; Resumo[[#This Row],[Disciplina:]]</f>
        <v>8º ano B | Semana 4 - 19/jan a 23/jan | Ciências da Natureza</v>
      </c>
      <c r="J123" t="s">
        <v>130</v>
      </c>
    </row>
    <row r="124" spans="1:10" x14ac:dyDescent="0.3">
      <c r="A124" t="s">
        <v>40</v>
      </c>
      <c r="B124">
        <v>4</v>
      </c>
      <c r="C124" s="3">
        <v>46041</v>
      </c>
      <c r="D124" s="3">
        <v>46045</v>
      </c>
      <c r="E124" t="s">
        <v>212</v>
      </c>
      <c r="F124" t="s">
        <v>13</v>
      </c>
      <c r="G124" t="s">
        <v>214</v>
      </c>
      <c r="H124" t="s">
        <v>215</v>
      </c>
      <c r="I124" t="str">
        <f>Resumo[[#This Row],[Turma:]] &amp; " | " &amp; Resumo[[#This Row],[TextoSemana]] &amp; " | " &amp; Resumo[[#This Row],[Disciplina:]]</f>
        <v>8º ano C | Semana 4 - 19/jan a 23/jan | Ciências da Natureza</v>
      </c>
      <c r="J124" t="s">
        <v>130</v>
      </c>
    </row>
    <row r="125" spans="1:10" x14ac:dyDescent="0.3">
      <c r="A125" t="s">
        <v>41</v>
      </c>
      <c r="B125">
        <v>4</v>
      </c>
      <c r="C125" s="3">
        <v>46041</v>
      </c>
      <c r="D125" s="3">
        <v>46045</v>
      </c>
      <c r="E125" t="s">
        <v>212</v>
      </c>
      <c r="F125" t="s">
        <v>13</v>
      </c>
      <c r="G125" t="s">
        <v>214</v>
      </c>
      <c r="H125" t="s">
        <v>215</v>
      </c>
      <c r="I125" t="str">
        <f>Resumo[[#This Row],[Turma:]] &amp; " | " &amp; Resumo[[#This Row],[TextoSemana]] &amp; " | " &amp; Resumo[[#This Row],[Disciplina:]]</f>
        <v>8º ano D | Semana 4 - 19/jan a 23/jan | Ciências da Natureza</v>
      </c>
      <c r="J125" t="s">
        <v>130</v>
      </c>
    </row>
    <row r="126" spans="1:10" x14ac:dyDescent="0.3">
      <c r="A126" t="s">
        <v>42</v>
      </c>
      <c r="B126">
        <v>13</v>
      </c>
      <c r="C126" s="3">
        <v>46104</v>
      </c>
      <c r="D126" s="3">
        <v>46108</v>
      </c>
      <c r="E126" t="s">
        <v>220</v>
      </c>
      <c r="F126" t="s">
        <v>12</v>
      </c>
      <c r="G126" t="s">
        <v>216</v>
      </c>
      <c r="H126" t="s">
        <v>217</v>
      </c>
      <c r="I126" t="str">
        <f>Resumo[[#This Row],[Turma:]] &amp; " | " &amp; Resumo[[#This Row],[TextoSemana]] &amp; " | " &amp; Resumo[[#This Row],[Disciplina:]]</f>
        <v>9º ano A | Semana 13 - 23/mar a 27/mar | Matemática</v>
      </c>
      <c r="J126" t="s">
        <v>218</v>
      </c>
    </row>
    <row r="127" spans="1:10" x14ac:dyDescent="0.3">
      <c r="A127" t="s">
        <v>43</v>
      </c>
      <c r="B127">
        <v>13</v>
      </c>
      <c r="C127" s="3">
        <v>46104</v>
      </c>
      <c r="D127" s="3">
        <v>46108</v>
      </c>
      <c r="E127" t="s">
        <v>220</v>
      </c>
      <c r="F127" t="s">
        <v>12</v>
      </c>
      <c r="G127" t="s">
        <v>216</v>
      </c>
      <c r="H127" t="s">
        <v>217</v>
      </c>
      <c r="I127" t="str">
        <f>Resumo[[#This Row],[Turma:]] &amp; " | " &amp; Resumo[[#This Row],[TextoSemana]] &amp; " | " &amp; Resumo[[#This Row],[Disciplina:]]</f>
        <v>9º ano B | Semana 13 - 23/mar a 27/mar | Matemática</v>
      </c>
      <c r="J127" t="s">
        <v>218</v>
      </c>
    </row>
    <row r="128" spans="1:10" x14ac:dyDescent="0.3">
      <c r="A128" t="s">
        <v>44</v>
      </c>
      <c r="B128">
        <v>13</v>
      </c>
      <c r="C128" s="3">
        <v>46104</v>
      </c>
      <c r="D128" s="3">
        <v>46108</v>
      </c>
      <c r="E128" t="s">
        <v>220</v>
      </c>
      <c r="F128" t="s">
        <v>12</v>
      </c>
      <c r="G128" t="s">
        <v>216</v>
      </c>
      <c r="H128" t="s">
        <v>217</v>
      </c>
      <c r="I128" t="str">
        <f>Resumo[[#This Row],[Turma:]] &amp; " | " &amp; Resumo[[#This Row],[TextoSemana]] &amp; " | " &amp; Resumo[[#This Row],[Disciplina:]]</f>
        <v>9º ano C | Semana 13 - 23/mar a 27/mar | Matemática</v>
      </c>
      <c r="J128" t="s">
        <v>218</v>
      </c>
    </row>
    <row r="129" spans="1:10" x14ac:dyDescent="0.3">
      <c r="A129" t="s">
        <v>45</v>
      </c>
      <c r="B129">
        <v>13</v>
      </c>
      <c r="C129" s="3">
        <v>46104</v>
      </c>
      <c r="D129" s="3">
        <v>46108</v>
      </c>
      <c r="E129" t="s">
        <v>220</v>
      </c>
      <c r="F129" t="s">
        <v>12</v>
      </c>
      <c r="G129" t="s">
        <v>216</v>
      </c>
      <c r="H129" t="s">
        <v>217</v>
      </c>
      <c r="I129" t="str">
        <f>Resumo[[#This Row],[Turma:]] &amp; " | " &amp; Resumo[[#This Row],[TextoSemana]] &amp; " | " &amp; Resumo[[#This Row],[Disciplina:]]</f>
        <v>9º ano D | Semana 13 - 23/mar a 27/mar | Matemática</v>
      </c>
      <c r="J129" t="s">
        <v>218</v>
      </c>
    </row>
    <row r="130" spans="1:10" x14ac:dyDescent="0.3">
      <c r="A130" t="s">
        <v>46</v>
      </c>
      <c r="B130">
        <v>13</v>
      </c>
      <c r="C130" s="3">
        <v>46104</v>
      </c>
      <c r="D130" s="3">
        <v>46108</v>
      </c>
      <c r="E130" t="s">
        <v>220</v>
      </c>
      <c r="F130" t="s">
        <v>12</v>
      </c>
      <c r="G130" t="s">
        <v>216</v>
      </c>
      <c r="H130" t="s">
        <v>217</v>
      </c>
      <c r="I130" t="str">
        <f>Resumo[[#This Row],[Turma:]] &amp; " | " &amp; Resumo[[#This Row],[TextoSemana]] &amp; " | " &amp; Resumo[[#This Row],[Disciplina:]]</f>
        <v>9º ano E | Semana 13 - 23/mar a 27/mar | Matemática</v>
      </c>
      <c r="J130" t="s">
        <v>218</v>
      </c>
    </row>
    <row r="131" spans="1:10" x14ac:dyDescent="0.3">
      <c r="A131" t="s">
        <v>28</v>
      </c>
      <c r="B131">
        <v>2</v>
      </c>
      <c r="C131" s="3">
        <v>46027</v>
      </c>
      <c r="D131" s="3">
        <v>46031</v>
      </c>
      <c r="E131" t="s">
        <v>82</v>
      </c>
      <c r="F131" t="s">
        <v>7</v>
      </c>
      <c r="G131" t="s">
        <v>187</v>
      </c>
      <c r="H131" t="s">
        <v>221</v>
      </c>
      <c r="I131" t="str">
        <f>Resumo[[#This Row],[Turma:]] &amp; " | " &amp; Resumo[[#This Row],[TextoSemana]] &amp; " | " &amp; Resumo[[#This Row],[Disciplina:]]</f>
        <v>7º ano A | Semana 2 - 05/jan a 09/jan | Língua Inglesa</v>
      </c>
      <c r="J131" t="s">
        <v>222</v>
      </c>
    </row>
    <row r="132" spans="1:10" x14ac:dyDescent="0.3">
      <c r="A132" t="s">
        <v>29</v>
      </c>
      <c r="B132">
        <v>2</v>
      </c>
      <c r="C132" s="3">
        <v>46027</v>
      </c>
      <c r="D132" s="3">
        <v>46031</v>
      </c>
      <c r="E132" t="s">
        <v>82</v>
      </c>
      <c r="F132" t="s">
        <v>7</v>
      </c>
      <c r="G132" t="s">
        <v>187</v>
      </c>
      <c r="H132" t="s">
        <v>221</v>
      </c>
      <c r="I132" t="str">
        <f>Resumo[[#This Row],[Turma:]] &amp; " | " &amp; Resumo[[#This Row],[TextoSemana]] &amp; " | " &amp; Resumo[[#This Row],[Disciplina:]]</f>
        <v>7º ano B | Semana 2 - 05/jan a 09/jan | Língua Inglesa</v>
      </c>
      <c r="J132" t="s">
        <v>222</v>
      </c>
    </row>
    <row r="133" spans="1:10" x14ac:dyDescent="0.3">
      <c r="A133" t="s">
        <v>31</v>
      </c>
      <c r="B133">
        <v>2</v>
      </c>
      <c r="C133" s="3">
        <v>46027</v>
      </c>
      <c r="D133" s="3">
        <v>46031</v>
      </c>
      <c r="E133" t="s">
        <v>82</v>
      </c>
      <c r="F133" t="s">
        <v>7</v>
      </c>
      <c r="G133" t="s">
        <v>187</v>
      </c>
      <c r="H133" t="s">
        <v>221</v>
      </c>
      <c r="I133" t="str">
        <f>Resumo[[#This Row],[Turma:]] &amp; " | " &amp; Resumo[[#This Row],[TextoSemana]] &amp; " | " &amp; Resumo[[#This Row],[Disciplina:]]</f>
        <v>7º ano C | Semana 2 - 05/jan a 09/jan | Língua Inglesa</v>
      </c>
      <c r="J133" t="s">
        <v>222</v>
      </c>
    </row>
    <row r="134" spans="1:10" x14ac:dyDescent="0.3">
      <c r="A134" t="s">
        <v>30</v>
      </c>
      <c r="B134">
        <v>2</v>
      </c>
      <c r="C134" s="3">
        <v>46027</v>
      </c>
      <c r="D134" s="3">
        <v>46031</v>
      </c>
      <c r="E134" t="s">
        <v>82</v>
      </c>
      <c r="F134" t="s">
        <v>7</v>
      </c>
      <c r="G134" t="s">
        <v>187</v>
      </c>
      <c r="H134" t="s">
        <v>221</v>
      </c>
      <c r="I134" t="str">
        <f>Resumo[[#This Row],[Turma:]] &amp; " | " &amp; Resumo[[#This Row],[TextoSemana]] &amp; " | " &amp; Resumo[[#This Row],[Disciplina:]]</f>
        <v>7º ano D | Semana 2 - 05/jan a 09/jan | Língua Inglesa</v>
      </c>
      <c r="J134" t="s">
        <v>222</v>
      </c>
    </row>
    <row r="135" spans="1:10" x14ac:dyDescent="0.3">
      <c r="A135" t="s">
        <v>38</v>
      </c>
      <c r="B135">
        <v>2</v>
      </c>
      <c r="C135" s="3">
        <v>46027</v>
      </c>
      <c r="D135" s="3">
        <v>46031</v>
      </c>
      <c r="E135" t="s">
        <v>82</v>
      </c>
      <c r="F135" t="s">
        <v>7</v>
      </c>
      <c r="G135" t="s">
        <v>223</v>
      </c>
      <c r="H135" t="s">
        <v>224</v>
      </c>
      <c r="I135" t="str">
        <f>Resumo[[#This Row],[Turma:]] &amp; " | " &amp; Resumo[[#This Row],[TextoSemana]] &amp; " | " &amp; Resumo[[#This Row],[Disciplina:]]</f>
        <v>8º ano A | Semana 2 - 05/jan a 09/jan | Língua Inglesa</v>
      </c>
      <c r="J135" t="s">
        <v>222</v>
      </c>
    </row>
    <row r="136" spans="1:10" x14ac:dyDescent="0.3">
      <c r="A136" t="s">
        <v>39</v>
      </c>
      <c r="B136">
        <v>2</v>
      </c>
      <c r="C136" s="3">
        <v>46027</v>
      </c>
      <c r="D136" s="3">
        <v>46031</v>
      </c>
      <c r="E136" t="s">
        <v>82</v>
      </c>
      <c r="F136" t="s">
        <v>7</v>
      </c>
      <c r="G136" t="s">
        <v>223</v>
      </c>
      <c r="H136" t="s">
        <v>224</v>
      </c>
      <c r="I136" t="str">
        <f>Resumo[[#This Row],[Turma:]] &amp; " | " &amp; Resumo[[#This Row],[TextoSemana]] &amp; " | " &amp; Resumo[[#This Row],[Disciplina:]]</f>
        <v>8º ano B | Semana 2 - 05/jan a 09/jan | Língua Inglesa</v>
      </c>
      <c r="J136" t="s">
        <v>222</v>
      </c>
    </row>
    <row r="137" spans="1:10" x14ac:dyDescent="0.3">
      <c r="A137" t="s">
        <v>40</v>
      </c>
      <c r="B137">
        <v>2</v>
      </c>
      <c r="C137" s="3">
        <v>46027</v>
      </c>
      <c r="D137" s="3">
        <v>46031</v>
      </c>
      <c r="E137" t="s">
        <v>82</v>
      </c>
      <c r="F137" t="s">
        <v>7</v>
      </c>
      <c r="G137" t="s">
        <v>223</v>
      </c>
      <c r="H137" t="s">
        <v>224</v>
      </c>
      <c r="I137" t="str">
        <f>Resumo[[#This Row],[Turma:]] &amp; " | " &amp; Resumo[[#This Row],[TextoSemana]] &amp; " | " &amp; Resumo[[#This Row],[Disciplina:]]</f>
        <v>8º ano C | Semana 2 - 05/jan a 09/jan | Língua Inglesa</v>
      </c>
      <c r="J137" t="s">
        <v>222</v>
      </c>
    </row>
    <row r="138" spans="1:10" x14ac:dyDescent="0.3">
      <c r="A138" t="s">
        <v>41</v>
      </c>
      <c r="B138">
        <v>2</v>
      </c>
      <c r="C138" s="3">
        <v>46027</v>
      </c>
      <c r="D138" s="3">
        <v>46031</v>
      </c>
      <c r="E138" t="s">
        <v>82</v>
      </c>
      <c r="F138" t="s">
        <v>7</v>
      </c>
      <c r="G138" t="s">
        <v>223</v>
      </c>
      <c r="H138" t="s">
        <v>224</v>
      </c>
      <c r="I138" t="str">
        <f>Resumo[[#This Row],[Turma:]] &amp; " | " &amp; Resumo[[#This Row],[TextoSemana]] &amp; " | " &amp; Resumo[[#This Row],[Disciplina:]]</f>
        <v>8º ano D | Semana 2 - 05/jan a 09/jan | Língua Inglesa</v>
      </c>
      <c r="J138" t="s">
        <v>222</v>
      </c>
    </row>
    <row r="139" spans="1:10" x14ac:dyDescent="0.3">
      <c r="A139" t="s">
        <v>42</v>
      </c>
      <c r="B139">
        <v>2</v>
      </c>
      <c r="C139" s="3">
        <v>46027</v>
      </c>
      <c r="D139" s="3">
        <v>46031</v>
      </c>
      <c r="E139" t="s">
        <v>82</v>
      </c>
      <c r="F139" t="s">
        <v>7</v>
      </c>
      <c r="G139" t="s">
        <v>225</v>
      </c>
      <c r="H139" t="s">
        <v>224</v>
      </c>
      <c r="I139" t="str">
        <f>Resumo[[#This Row],[Turma:]] &amp; " | " &amp; Resumo[[#This Row],[TextoSemana]] &amp; " | " &amp; Resumo[[#This Row],[Disciplina:]]</f>
        <v>9º ano A | Semana 2 - 05/jan a 09/jan | Língua Inglesa</v>
      </c>
      <c r="J139" t="s">
        <v>222</v>
      </c>
    </row>
    <row r="140" spans="1:10" x14ac:dyDescent="0.3">
      <c r="A140" t="s">
        <v>43</v>
      </c>
      <c r="B140">
        <v>2</v>
      </c>
      <c r="C140" s="3">
        <v>46027</v>
      </c>
      <c r="D140" s="3">
        <v>46031</v>
      </c>
      <c r="E140" t="s">
        <v>82</v>
      </c>
      <c r="F140" t="s">
        <v>7</v>
      </c>
      <c r="G140" t="s">
        <v>225</v>
      </c>
      <c r="H140" t="s">
        <v>224</v>
      </c>
      <c r="I140" t="str">
        <f>Resumo[[#This Row],[Turma:]] &amp; " | " &amp; Resumo[[#This Row],[TextoSemana]] &amp; " | " &amp; Resumo[[#This Row],[Disciplina:]]</f>
        <v>9º ano B | Semana 2 - 05/jan a 09/jan | Língua Inglesa</v>
      </c>
      <c r="J140" t="s">
        <v>222</v>
      </c>
    </row>
    <row r="141" spans="1:10" x14ac:dyDescent="0.3">
      <c r="A141" t="s">
        <v>44</v>
      </c>
      <c r="B141">
        <v>2</v>
      </c>
      <c r="C141" s="3">
        <v>46027</v>
      </c>
      <c r="D141" s="3">
        <v>46031</v>
      </c>
      <c r="E141" t="s">
        <v>82</v>
      </c>
      <c r="F141" t="s">
        <v>7</v>
      </c>
      <c r="G141" t="s">
        <v>225</v>
      </c>
      <c r="H141" t="s">
        <v>224</v>
      </c>
      <c r="I141" t="str">
        <f>Resumo[[#This Row],[Turma:]] &amp; " | " &amp; Resumo[[#This Row],[TextoSemana]] &amp; " | " &amp; Resumo[[#This Row],[Disciplina:]]</f>
        <v>9º ano C | Semana 2 - 05/jan a 09/jan | Língua Inglesa</v>
      </c>
      <c r="J141" t="s">
        <v>222</v>
      </c>
    </row>
    <row r="142" spans="1:10" x14ac:dyDescent="0.3">
      <c r="A142" t="s">
        <v>45</v>
      </c>
      <c r="B142">
        <v>2</v>
      </c>
      <c r="C142" s="3">
        <v>46027</v>
      </c>
      <c r="D142" s="3">
        <v>46031</v>
      </c>
      <c r="E142" t="s">
        <v>82</v>
      </c>
      <c r="F142" t="s">
        <v>7</v>
      </c>
      <c r="G142" t="s">
        <v>225</v>
      </c>
      <c r="H142" t="s">
        <v>224</v>
      </c>
      <c r="I142" t="str">
        <f>Resumo[[#This Row],[Turma:]] &amp; " | " &amp; Resumo[[#This Row],[TextoSemana]] &amp; " | " &amp; Resumo[[#This Row],[Disciplina:]]</f>
        <v>9º ano D | Semana 2 - 05/jan a 09/jan | Língua Inglesa</v>
      </c>
      <c r="J142" t="s">
        <v>222</v>
      </c>
    </row>
    <row r="143" spans="1:10" x14ac:dyDescent="0.3">
      <c r="A143" t="s">
        <v>46</v>
      </c>
      <c r="B143">
        <v>2</v>
      </c>
      <c r="C143" s="3">
        <v>46027</v>
      </c>
      <c r="D143" s="3">
        <v>46031</v>
      </c>
      <c r="E143" t="s">
        <v>82</v>
      </c>
      <c r="F143" t="s">
        <v>7</v>
      </c>
      <c r="G143" t="s">
        <v>225</v>
      </c>
      <c r="H143" t="s">
        <v>224</v>
      </c>
      <c r="I143" t="str">
        <f>Resumo[[#This Row],[Turma:]] &amp; " | " &amp; Resumo[[#This Row],[TextoSemana]] &amp; " | " &amp; Resumo[[#This Row],[Disciplina:]]</f>
        <v>9º ano E | Semana 2 - 05/jan a 09/jan | Língua Inglesa</v>
      </c>
      <c r="J143" t="s">
        <v>222</v>
      </c>
    </row>
    <row r="144" spans="1:10" x14ac:dyDescent="0.3">
      <c r="A144" t="s">
        <v>33</v>
      </c>
      <c r="B144">
        <v>2</v>
      </c>
      <c r="C144" s="3">
        <v>46027</v>
      </c>
      <c r="D144" s="3">
        <v>46031</v>
      </c>
      <c r="E144" t="s">
        <v>82</v>
      </c>
      <c r="F144" t="s">
        <v>7</v>
      </c>
      <c r="G144" t="s">
        <v>226</v>
      </c>
      <c r="H144" t="s">
        <v>227</v>
      </c>
      <c r="I144" t="str">
        <f>Resumo[[#This Row],[Turma:]] &amp; " | " &amp; Resumo[[#This Row],[TextoSemana]] &amp; " | " &amp; Resumo[[#This Row],[Disciplina:]]</f>
        <v>1º ano A - EM | Semana 2 - 05/jan a 09/jan | Língua Inglesa</v>
      </c>
      <c r="J144" t="s">
        <v>222</v>
      </c>
    </row>
    <row r="145" spans="1:10" x14ac:dyDescent="0.3">
      <c r="A145" t="s">
        <v>34</v>
      </c>
      <c r="B145">
        <v>2</v>
      </c>
      <c r="C145" s="3">
        <v>46027</v>
      </c>
      <c r="D145" s="3">
        <v>46031</v>
      </c>
      <c r="E145" t="s">
        <v>82</v>
      </c>
      <c r="F145" t="s">
        <v>7</v>
      </c>
      <c r="G145" t="s">
        <v>226</v>
      </c>
      <c r="H145" t="s">
        <v>227</v>
      </c>
      <c r="I145" t="str">
        <f>Resumo[[#This Row],[Turma:]] &amp; " | " &amp; Resumo[[#This Row],[TextoSemana]] &amp; " | " &amp; Resumo[[#This Row],[Disciplina:]]</f>
        <v>1º ano B - EM | Semana 2 - 05/jan a 09/jan | Língua Inglesa</v>
      </c>
      <c r="J145" t="s">
        <v>222</v>
      </c>
    </row>
    <row r="146" spans="1:10" x14ac:dyDescent="0.3">
      <c r="A146" t="s">
        <v>35</v>
      </c>
      <c r="B146">
        <v>2</v>
      </c>
      <c r="C146" s="3">
        <v>46027</v>
      </c>
      <c r="D146" s="3">
        <v>46031</v>
      </c>
      <c r="E146" t="s">
        <v>82</v>
      </c>
      <c r="F146" t="s">
        <v>7</v>
      </c>
      <c r="G146" t="s">
        <v>226</v>
      </c>
      <c r="H146" t="s">
        <v>227</v>
      </c>
      <c r="I146" t="str">
        <f>Resumo[[#This Row],[Turma:]] &amp; " | " &amp; Resumo[[#This Row],[TextoSemana]] &amp; " | " &amp; Resumo[[#This Row],[Disciplina:]]</f>
        <v>1º ano C - EM | Semana 2 - 05/jan a 09/jan | Língua Inglesa</v>
      </c>
      <c r="J146" t="s">
        <v>222</v>
      </c>
    </row>
    <row r="147" spans="1:10" x14ac:dyDescent="0.3">
      <c r="A147" t="s">
        <v>36</v>
      </c>
      <c r="B147">
        <v>2</v>
      </c>
      <c r="C147" s="3">
        <v>46027</v>
      </c>
      <c r="D147" s="3">
        <v>46031</v>
      </c>
      <c r="E147" t="s">
        <v>82</v>
      </c>
      <c r="F147" t="s">
        <v>7</v>
      </c>
      <c r="G147" t="s">
        <v>226</v>
      </c>
      <c r="H147" t="s">
        <v>227</v>
      </c>
      <c r="I147" t="str">
        <f>Resumo[[#This Row],[Turma:]] &amp; " | " &amp; Resumo[[#This Row],[TextoSemana]] &amp; " | " &amp; Resumo[[#This Row],[Disciplina:]]</f>
        <v>1º ano D - EM | Semana 2 - 05/jan a 09/jan | Língua Inglesa</v>
      </c>
      <c r="J147" t="s">
        <v>222</v>
      </c>
    </row>
    <row r="148" spans="1:10" x14ac:dyDescent="0.3">
      <c r="A148" t="s">
        <v>37</v>
      </c>
      <c r="B148">
        <v>2</v>
      </c>
      <c r="C148" s="3">
        <v>46027</v>
      </c>
      <c r="D148" s="3">
        <v>46031</v>
      </c>
      <c r="E148" t="s">
        <v>82</v>
      </c>
      <c r="F148" t="s">
        <v>7</v>
      </c>
      <c r="G148" t="s">
        <v>226</v>
      </c>
      <c r="H148" t="s">
        <v>227</v>
      </c>
      <c r="I148" t="str">
        <f>Resumo[[#This Row],[Turma:]] &amp; " | " &amp; Resumo[[#This Row],[TextoSemana]] &amp; " | " &amp; Resumo[[#This Row],[Disciplina:]]</f>
        <v>1º ano E - EM | Semana 2 - 05/jan a 09/jan | Língua Inglesa</v>
      </c>
      <c r="J148" t="s">
        <v>222</v>
      </c>
    </row>
    <row r="149" spans="1:10" x14ac:dyDescent="0.3">
      <c r="A149" t="s">
        <v>24</v>
      </c>
      <c r="B149">
        <v>3</v>
      </c>
      <c r="C149" s="3">
        <v>46034</v>
      </c>
      <c r="D149" s="3">
        <v>46038</v>
      </c>
      <c r="E149" t="s">
        <v>103</v>
      </c>
      <c r="F149" t="s">
        <v>12</v>
      </c>
      <c r="G149" t="s">
        <v>228</v>
      </c>
      <c r="H149" t="s">
        <v>229</v>
      </c>
      <c r="I149" t="str">
        <f>Resumo[[#This Row],[Turma:]] &amp; " | " &amp; Resumo[[#This Row],[TextoSemana]] &amp; " | " &amp; Resumo[[#This Row],[Disciplina:]]</f>
        <v>6º ano A | Semana 3 - 12/jan a 16/jan | Matemática</v>
      </c>
      <c r="J149" t="s">
        <v>130</v>
      </c>
    </row>
    <row r="150" spans="1:10" x14ac:dyDescent="0.3">
      <c r="A150" t="s">
        <v>25</v>
      </c>
      <c r="B150">
        <v>3</v>
      </c>
      <c r="C150" s="3">
        <v>46034</v>
      </c>
      <c r="D150" s="3">
        <v>46038</v>
      </c>
      <c r="E150" t="s">
        <v>103</v>
      </c>
      <c r="F150" t="s">
        <v>12</v>
      </c>
      <c r="G150" t="s">
        <v>228</v>
      </c>
      <c r="H150" t="s">
        <v>229</v>
      </c>
      <c r="I150" t="str">
        <f>Resumo[[#This Row],[Turma:]] &amp; " | " &amp; Resumo[[#This Row],[TextoSemana]] &amp; " | " &amp; Resumo[[#This Row],[Disciplina:]]</f>
        <v>6º ano B | Semana 3 - 12/jan a 16/jan | Matemática</v>
      </c>
      <c r="J150" t="s">
        <v>130</v>
      </c>
    </row>
    <row r="151" spans="1:10" x14ac:dyDescent="0.3">
      <c r="A151" t="s">
        <v>26</v>
      </c>
      <c r="B151">
        <v>3</v>
      </c>
      <c r="C151" s="3">
        <v>46034</v>
      </c>
      <c r="D151" s="3">
        <v>46038</v>
      </c>
      <c r="E151" t="s">
        <v>103</v>
      </c>
      <c r="F151" t="s">
        <v>12</v>
      </c>
      <c r="G151" t="s">
        <v>228</v>
      </c>
      <c r="H151" t="s">
        <v>229</v>
      </c>
      <c r="I151" t="str">
        <f>Resumo[[#This Row],[Turma:]] &amp; " | " &amp; Resumo[[#This Row],[TextoSemana]] &amp; " | " &amp; Resumo[[#This Row],[Disciplina:]]</f>
        <v>6º ano C | Semana 3 - 12/jan a 16/jan | Matemática</v>
      </c>
      <c r="J151" t="s">
        <v>130</v>
      </c>
    </row>
    <row r="152" spans="1:10" x14ac:dyDescent="0.3">
      <c r="A152" t="s">
        <v>27</v>
      </c>
      <c r="B152">
        <v>3</v>
      </c>
      <c r="C152" s="3">
        <v>46034</v>
      </c>
      <c r="D152" s="3">
        <v>46038</v>
      </c>
      <c r="E152" t="s">
        <v>103</v>
      </c>
      <c r="F152" t="s">
        <v>12</v>
      </c>
      <c r="G152" t="s">
        <v>228</v>
      </c>
      <c r="H152" t="s">
        <v>229</v>
      </c>
      <c r="I152" t="str">
        <f>Resumo[[#This Row],[Turma:]] &amp; " | " &amp; Resumo[[#This Row],[TextoSemana]] &amp; " | " &amp; Resumo[[#This Row],[Disciplina:]]</f>
        <v>6º ano D | Semana 3 - 12/jan a 16/jan | Matemática</v>
      </c>
      <c r="J152" t="s">
        <v>130</v>
      </c>
    </row>
    <row r="153" spans="1:10" x14ac:dyDescent="0.3">
      <c r="A153" t="s">
        <v>28</v>
      </c>
      <c r="B153">
        <v>2</v>
      </c>
      <c r="C153" s="3">
        <v>46027</v>
      </c>
      <c r="D153" s="3">
        <v>46031</v>
      </c>
      <c r="E153" t="s">
        <v>82</v>
      </c>
      <c r="F153" t="s">
        <v>6</v>
      </c>
      <c r="G153" t="s">
        <v>232</v>
      </c>
      <c r="H153" t="s">
        <v>233</v>
      </c>
      <c r="I153" t="str">
        <f>Resumo[[#This Row],[Turma:]] &amp; " | " &amp; Resumo[[#This Row],[TextoSemana]] &amp; " | " &amp; Resumo[[#This Row],[Disciplina:]]</f>
        <v>7º ano A | Semana 2 - 05/jan a 09/jan | Língua Portuguesa</v>
      </c>
      <c r="J153" t="s">
        <v>234</v>
      </c>
    </row>
    <row r="154" spans="1:10" x14ac:dyDescent="0.3">
      <c r="A154" t="s">
        <v>29</v>
      </c>
      <c r="B154">
        <v>2</v>
      </c>
      <c r="C154" s="3">
        <v>46027</v>
      </c>
      <c r="D154" s="3">
        <v>46031</v>
      </c>
      <c r="E154" t="s">
        <v>82</v>
      </c>
      <c r="F154" t="s">
        <v>6</v>
      </c>
      <c r="G154" t="s">
        <v>232</v>
      </c>
      <c r="H154" t="s">
        <v>233</v>
      </c>
      <c r="I154" t="str">
        <f>Resumo[[#This Row],[Turma:]] &amp; " | " &amp; Resumo[[#This Row],[TextoSemana]] &amp; " | " &amp; Resumo[[#This Row],[Disciplina:]]</f>
        <v>7º ano B | Semana 2 - 05/jan a 09/jan | Língua Portuguesa</v>
      </c>
      <c r="J154" t="s">
        <v>234</v>
      </c>
    </row>
    <row r="155" spans="1:10" x14ac:dyDescent="0.3">
      <c r="A155" t="s">
        <v>31</v>
      </c>
      <c r="B155">
        <v>2</v>
      </c>
      <c r="C155" s="3">
        <v>46027</v>
      </c>
      <c r="D155" s="3">
        <v>46031</v>
      </c>
      <c r="E155" t="s">
        <v>82</v>
      </c>
      <c r="F155" t="s">
        <v>6</v>
      </c>
      <c r="G155" t="s">
        <v>232</v>
      </c>
      <c r="H155" t="s">
        <v>233</v>
      </c>
      <c r="I155" t="str">
        <f>Resumo[[#This Row],[Turma:]] &amp; " | " &amp; Resumo[[#This Row],[TextoSemana]] &amp; " | " &amp; Resumo[[#This Row],[Disciplina:]]</f>
        <v>7º ano C | Semana 2 - 05/jan a 09/jan | Língua Portuguesa</v>
      </c>
      <c r="J155" t="s">
        <v>234</v>
      </c>
    </row>
    <row r="156" spans="1:10" x14ac:dyDescent="0.3">
      <c r="A156" t="s">
        <v>30</v>
      </c>
      <c r="B156">
        <v>2</v>
      </c>
      <c r="C156" s="3">
        <v>46027</v>
      </c>
      <c r="D156" s="3">
        <v>46031</v>
      </c>
      <c r="E156" t="s">
        <v>82</v>
      </c>
      <c r="F156" t="s">
        <v>6</v>
      </c>
      <c r="G156" t="s">
        <v>232</v>
      </c>
      <c r="H156" t="s">
        <v>233</v>
      </c>
      <c r="I156" t="str">
        <f>Resumo[[#This Row],[Turma:]] &amp; " | " &amp; Resumo[[#This Row],[TextoSemana]] &amp; " | " &amp; Resumo[[#This Row],[Disciplina:]]</f>
        <v>7º ano D | Semana 2 - 05/jan a 09/jan | Língua Portuguesa</v>
      </c>
      <c r="J156" t="s">
        <v>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DC07-2762-4665-9718-EAFD5FD3BB4D}">
  <sheetPr codeName="Planilha3"/>
  <dimension ref="A1:O213"/>
  <sheetViews>
    <sheetView topLeftCell="A340" zoomScale="70" zoomScaleNormal="70" workbookViewId="0">
      <selection activeCell="L1" sqref="L1:L1048576"/>
    </sheetView>
  </sheetViews>
  <sheetFormatPr defaultRowHeight="14.4" x14ac:dyDescent="0.3"/>
  <cols>
    <col min="1" max="1" width="32.21875" bestFit="1" customWidth="1"/>
    <col min="2" max="2" width="17.5546875" bestFit="1" customWidth="1"/>
    <col min="3" max="3" width="23" bestFit="1" customWidth="1"/>
    <col min="4" max="4" width="11.88671875" bestFit="1" customWidth="1"/>
    <col min="5" max="7" width="80.88671875" bestFit="1" customWidth="1"/>
    <col min="8" max="8" width="21.5546875" bestFit="1" customWidth="1"/>
    <col min="9" max="9" width="13.109375" bestFit="1" customWidth="1"/>
    <col min="10" max="10" width="13.33203125" bestFit="1" customWidth="1"/>
    <col min="11" max="11" width="6.109375" style="3" bestFit="1" customWidth="1"/>
    <col min="12" max="12" width="18" style="3" bestFit="1" customWidth="1"/>
    <col min="13" max="13" width="15.77734375" bestFit="1" customWidth="1"/>
    <col min="14" max="14" width="14.109375" bestFit="1" customWidth="1"/>
    <col min="15" max="15" width="25.6640625" customWidth="1"/>
  </cols>
  <sheetData>
    <row r="1" spans="1:15" x14ac:dyDescent="0.3">
      <c r="A1" t="s">
        <v>16</v>
      </c>
      <c r="B1" t="s">
        <v>17</v>
      </c>
      <c r="C1" t="s">
        <v>5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184</v>
      </c>
      <c r="J1" t="s">
        <v>241</v>
      </c>
      <c r="K1" t="s">
        <v>23</v>
      </c>
      <c r="L1" t="s">
        <v>57</v>
      </c>
      <c r="M1" s="3" t="s">
        <v>58</v>
      </c>
      <c r="N1" s="3" t="s">
        <v>59</v>
      </c>
      <c r="O1" t="s">
        <v>60</v>
      </c>
    </row>
    <row r="2" spans="1:15" x14ac:dyDescent="0.3">
      <c r="A2" t="s">
        <v>86</v>
      </c>
      <c r="B2" t="s">
        <v>87</v>
      </c>
      <c r="C2" t="s">
        <v>6</v>
      </c>
      <c r="D2" t="s">
        <v>24</v>
      </c>
      <c r="E2" t="s">
        <v>83</v>
      </c>
      <c r="F2" t="s">
        <v>84</v>
      </c>
      <c r="G2" t="s">
        <v>85</v>
      </c>
      <c r="H2" t="s">
        <v>88</v>
      </c>
      <c r="I2" s="30"/>
      <c r="J2" s="31"/>
      <c r="K2">
        <v>43</v>
      </c>
      <c r="L2">
        <v>2</v>
      </c>
      <c r="M2" s="3">
        <v>46027</v>
      </c>
      <c r="N2" s="3">
        <v>46031</v>
      </c>
      <c r="O2" t="s">
        <v>82</v>
      </c>
    </row>
    <row r="3" spans="1:15" x14ac:dyDescent="0.3">
      <c r="A3" t="s">
        <v>86</v>
      </c>
      <c r="B3" t="s">
        <v>87</v>
      </c>
      <c r="C3" t="s">
        <v>6</v>
      </c>
      <c r="D3" t="s">
        <v>25</v>
      </c>
      <c r="E3" t="s">
        <v>83</v>
      </c>
      <c r="F3" t="s">
        <v>84</v>
      </c>
      <c r="G3" t="s">
        <v>85</v>
      </c>
      <c r="H3" t="s">
        <v>88</v>
      </c>
      <c r="I3" s="30"/>
      <c r="J3" s="31"/>
      <c r="K3">
        <v>43</v>
      </c>
      <c r="L3">
        <v>2</v>
      </c>
      <c r="M3" s="3">
        <v>46027</v>
      </c>
      <c r="N3" s="3">
        <v>46031</v>
      </c>
      <c r="O3" t="s">
        <v>82</v>
      </c>
    </row>
    <row r="4" spans="1:15" x14ac:dyDescent="0.3">
      <c r="A4" t="s">
        <v>86</v>
      </c>
      <c r="B4" t="s">
        <v>87</v>
      </c>
      <c r="C4" t="s">
        <v>6</v>
      </c>
      <c r="D4" t="s">
        <v>26</v>
      </c>
      <c r="E4" t="s">
        <v>83</v>
      </c>
      <c r="F4" t="s">
        <v>84</v>
      </c>
      <c r="G4" t="s">
        <v>85</v>
      </c>
      <c r="H4" t="s">
        <v>88</v>
      </c>
      <c r="I4" s="30"/>
      <c r="J4" s="31"/>
      <c r="K4">
        <v>43</v>
      </c>
      <c r="L4">
        <v>2</v>
      </c>
      <c r="M4" s="3">
        <v>46027</v>
      </c>
      <c r="N4" s="3">
        <v>46031</v>
      </c>
      <c r="O4" t="s">
        <v>82</v>
      </c>
    </row>
    <row r="5" spans="1:15" x14ac:dyDescent="0.3">
      <c r="A5" t="s">
        <v>92</v>
      </c>
      <c r="B5" t="s">
        <v>93</v>
      </c>
      <c r="C5" t="s">
        <v>13</v>
      </c>
      <c r="D5" t="s">
        <v>26</v>
      </c>
      <c r="E5" t="s">
        <v>89</v>
      </c>
      <c r="F5" t="s">
        <v>90</v>
      </c>
      <c r="G5" t="s">
        <v>91</v>
      </c>
      <c r="H5" t="s">
        <v>88</v>
      </c>
      <c r="I5" s="30"/>
      <c r="J5" s="31"/>
      <c r="K5">
        <v>44</v>
      </c>
      <c r="L5">
        <v>2</v>
      </c>
      <c r="M5" s="3">
        <v>46027</v>
      </c>
      <c r="N5" s="3">
        <v>46031</v>
      </c>
      <c r="O5" t="s">
        <v>82</v>
      </c>
    </row>
    <row r="6" spans="1:15" x14ac:dyDescent="0.3">
      <c r="A6" t="s">
        <v>143</v>
      </c>
      <c r="B6" t="s">
        <v>144</v>
      </c>
      <c r="C6" t="s">
        <v>12</v>
      </c>
      <c r="D6" t="s">
        <v>38</v>
      </c>
      <c r="E6" t="s">
        <v>95</v>
      </c>
      <c r="F6" t="s">
        <v>96</v>
      </c>
      <c r="G6" t="s">
        <v>97</v>
      </c>
      <c r="H6" t="s">
        <v>145</v>
      </c>
      <c r="I6" s="30"/>
      <c r="J6" s="31"/>
      <c r="K6">
        <v>45</v>
      </c>
      <c r="L6">
        <v>8</v>
      </c>
      <c r="M6" s="3">
        <v>46069</v>
      </c>
      <c r="N6" s="3">
        <v>46073</v>
      </c>
      <c r="O6" t="s">
        <v>94</v>
      </c>
    </row>
    <row r="7" spans="1:15" x14ac:dyDescent="0.3">
      <c r="A7" t="s">
        <v>143</v>
      </c>
      <c r="B7" t="s">
        <v>144</v>
      </c>
      <c r="C7" t="s">
        <v>12</v>
      </c>
      <c r="D7" t="s">
        <v>39</v>
      </c>
      <c r="E7" t="s">
        <v>95</v>
      </c>
      <c r="F7" t="s">
        <v>96</v>
      </c>
      <c r="G7" t="s">
        <v>97</v>
      </c>
      <c r="H7" t="s">
        <v>145</v>
      </c>
      <c r="I7" s="30"/>
      <c r="J7" s="31"/>
      <c r="K7">
        <v>45</v>
      </c>
      <c r="L7">
        <v>8</v>
      </c>
      <c r="M7" s="3">
        <v>46069</v>
      </c>
      <c r="N7" s="3">
        <v>46073</v>
      </c>
      <c r="O7" t="s">
        <v>94</v>
      </c>
    </row>
    <row r="8" spans="1:15" x14ac:dyDescent="0.3">
      <c r="A8" t="s">
        <v>143</v>
      </c>
      <c r="B8" t="s">
        <v>144</v>
      </c>
      <c r="C8" t="s">
        <v>12</v>
      </c>
      <c r="D8" t="s">
        <v>40</v>
      </c>
      <c r="E8" t="s">
        <v>95</v>
      </c>
      <c r="F8" t="s">
        <v>96</v>
      </c>
      <c r="G8" t="s">
        <v>97</v>
      </c>
      <c r="H8" t="s">
        <v>145</v>
      </c>
      <c r="I8" s="30"/>
      <c r="J8" s="31"/>
      <c r="K8">
        <v>45</v>
      </c>
      <c r="L8">
        <v>8</v>
      </c>
      <c r="M8" s="3">
        <v>46069</v>
      </c>
      <c r="N8" s="3">
        <v>46073</v>
      </c>
      <c r="O8" t="s">
        <v>94</v>
      </c>
    </row>
    <row r="9" spans="1:15" x14ac:dyDescent="0.3">
      <c r="A9" t="s">
        <v>143</v>
      </c>
      <c r="B9" t="s">
        <v>144</v>
      </c>
      <c r="C9" t="s">
        <v>12</v>
      </c>
      <c r="D9" t="s">
        <v>41</v>
      </c>
      <c r="E9" t="s">
        <v>95</v>
      </c>
      <c r="F9" t="s">
        <v>96</v>
      </c>
      <c r="G9" t="s">
        <v>97</v>
      </c>
      <c r="H9" t="s">
        <v>145</v>
      </c>
      <c r="I9" s="30"/>
      <c r="J9" s="31"/>
      <c r="K9">
        <v>45</v>
      </c>
      <c r="L9">
        <v>8</v>
      </c>
      <c r="M9" s="3">
        <v>46069</v>
      </c>
      <c r="N9" s="3">
        <v>46073</v>
      </c>
      <c r="O9" t="s">
        <v>94</v>
      </c>
    </row>
    <row r="10" spans="1:15" x14ac:dyDescent="0.3">
      <c r="A10" t="s">
        <v>146</v>
      </c>
      <c r="B10" t="s">
        <v>147</v>
      </c>
      <c r="C10" t="s">
        <v>6</v>
      </c>
      <c r="D10" t="s">
        <v>42</v>
      </c>
      <c r="E10" t="s">
        <v>99</v>
      </c>
      <c r="F10" t="s">
        <v>100</v>
      </c>
      <c r="G10" t="s">
        <v>101</v>
      </c>
      <c r="H10" t="s">
        <v>148</v>
      </c>
      <c r="I10" s="30"/>
      <c r="J10" s="31"/>
      <c r="K10">
        <v>46</v>
      </c>
      <c r="L10">
        <v>7</v>
      </c>
      <c r="M10" s="3">
        <v>46062</v>
      </c>
      <c r="N10" s="3">
        <v>46066</v>
      </c>
      <c r="O10" t="s">
        <v>98</v>
      </c>
    </row>
    <row r="11" spans="1:15" x14ac:dyDescent="0.3">
      <c r="A11" t="s">
        <v>146</v>
      </c>
      <c r="B11" t="s">
        <v>147</v>
      </c>
      <c r="C11" t="s">
        <v>6</v>
      </c>
      <c r="D11" t="s">
        <v>43</v>
      </c>
      <c r="E11" t="s">
        <v>102</v>
      </c>
      <c r="F11" t="s">
        <v>100</v>
      </c>
      <c r="G11" t="s">
        <v>101</v>
      </c>
      <c r="H11" t="s">
        <v>148</v>
      </c>
      <c r="I11" s="30"/>
      <c r="J11" s="31"/>
      <c r="K11">
        <v>47</v>
      </c>
      <c r="L11">
        <v>7</v>
      </c>
      <c r="M11" s="3">
        <v>46062</v>
      </c>
      <c r="N11" s="3">
        <v>46066</v>
      </c>
      <c r="O11" t="s">
        <v>98</v>
      </c>
    </row>
    <row r="12" spans="1:15" x14ac:dyDescent="0.3">
      <c r="A12" t="s">
        <v>146</v>
      </c>
      <c r="B12" t="s">
        <v>147</v>
      </c>
      <c r="C12" t="s">
        <v>6</v>
      </c>
      <c r="D12" t="s">
        <v>44</v>
      </c>
      <c r="E12" t="s">
        <v>102</v>
      </c>
      <c r="F12" t="s">
        <v>100</v>
      </c>
      <c r="G12" t="s">
        <v>101</v>
      </c>
      <c r="H12" t="s">
        <v>148</v>
      </c>
      <c r="I12" s="30"/>
      <c r="J12" s="31"/>
      <c r="K12">
        <v>47</v>
      </c>
      <c r="L12">
        <v>7</v>
      </c>
      <c r="M12" s="3">
        <v>46062</v>
      </c>
      <c r="N12" s="3">
        <v>46066</v>
      </c>
      <c r="O12" t="s">
        <v>98</v>
      </c>
    </row>
    <row r="13" spans="1:15" x14ac:dyDescent="0.3">
      <c r="A13" t="s">
        <v>146</v>
      </c>
      <c r="B13" t="s">
        <v>147</v>
      </c>
      <c r="C13" t="s">
        <v>6</v>
      </c>
      <c r="D13" t="s">
        <v>45</v>
      </c>
      <c r="E13" t="s">
        <v>102</v>
      </c>
      <c r="F13" t="s">
        <v>100</v>
      </c>
      <c r="G13" t="s">
        <v>101</v>
      </c>
      <c r="H13" t="s">
        <v>148</v>
      </c>
      <c r="I13" s="30"/>
      <c r="J13" s="31"/>
      <c r="K13">
        <v>47</v>
      </c>
      <c r="L13">
        <v>7</v>
      </c>
      <c r="M13" s="3">
        <v>46062</v>
      </c>
      <c r="N13" s="3">
        <v>46066</v>
      </c>
      <c r="O13" t="s">
        <v>98</v>
      </c>
    </row>
    <row r="14" spans="1:15" x14ac:dyDescent="0.3">
      <c r="A14" t="s">
        <v>146</v>
      </c>
      <c r="B14" t="s">
        <v>147</v>
      </c>
      <c r="C14" t="s">
        <v>6</v>
      </c>
      <c r="D14" t="s">
        <v>26</v>
      </c>
      <c r="E14" t="s">
        <v>102</v>
      </c>
      <c r="F14" t="s">
        <v>100</v>
      </c>
      <c r="G14" t="s">
        <v>101</v>
      </c>
      <c r="H14" t="s">
        <v>148</v>
      </c>
      <c r="I14" s="30"/>
      <c r="J14" s="31"/>
      <c r="K14">
        <v>47</v>
      </c>
      <c r="L14">
        <v>7</v>
      </c>
      <c r="M14" s="3">
        <v>46062</v>
      </c>
      <c r="N14" s="3">
        <v>46066</v>
      </c>
      <c r="O14" t="s">
        <v>98</v>
      </c>
    </row>
    <row r="15" spans="1:15" x14ac:dyDescent="0.3">
      <c r="A15" t="s">
        <v>146</v>
      </c>
      <c r="B15" t="s">
        <v>147</v>
      </c>
      <c r="C15" t="s">
        <v>6</v>
      </c>
      <c r="D15" t="s">
        <v>46</v>
      </c>
      <c r="E15" t="s">
        <v>102</v>
      </c>
      <c r="F15" t="s">
        <v>100</v>
      </c>
      <c r="G15" t="s">
        <v>101</v>
      </c>
      <c r="H15" t="s">
        <v>148</v>
      </c>
      <c r="I15" s="30"/>
      <c r="J15" s="31"/>
      <c r="K15">
        <v>47</v>
      </c>
      <c r="L15">
        <v>7</v>
      </c>
      <c r="M15" s="3">
        <v>46062</v>
      </c>
      <c r="N15" s="3">
        <v>46066</v>
      </c>
      <c r="O15" t="s">
        <v>98</v>
      </c>
    </row>
    <row r="16" spans="1:15" x14ac:dyDescent="0.3">
      <c r="A16" t="s">
        <v>149</v>
      </c>
      <c r="B16" t="s">
        <v>150</v>
      </c>
      <c r="C16" t="s">
        <v>6</v>
      </c>
      <c r="D16" t="s">
        <v>33</v>
      </c>
      <c r="E16" t="s">
        <v>104</v>
      </c>
      <c r="F16" t="s">
        <v>105</v>
      </c>
      <c r="G16" t="s">
        <v>106</v>
      </c>
      <c r="H16" t="s">
        <v>151</v>
      </c>
      <c r="I16" s="30"/>
      <c r="J16" s="31"/>
      <c r="K16">
        <v>48</v>
      </c>
      <c r="L16">
        <v>3</v>
      </c>
      <c r="M16" s="3">
        <v>46034</v>
      </c>
      <c r="N16" s="3">
        <v>46038</v>
      </c>
      <c r="O16" t="s">
        <v>103</v>
      </c>
    </row>
    <row r="17" spans="1:15" x14ac:dyDescent="0.3">
      <c r="A17" t="s">
        <v>149</v>
      </c>
      <c r="B17" t="s">
        <v>150</v>
      </c>
      <c r="C17" t="s">
        <v>6</v>
      </c>
      <c r="D17" t="s">
        <v>34</v>
      </c>
      <c r="E17" t="s">
        <v>104</v>
      </c>
      <c r="F17" t="s">
        <v>105</v>
      </c>
      <c r="G17" t="s">
        <v>106</v>
      </c>
      <c r="H17" t="s">
        <v>151</v>
      </c>
      <c r="I17" s="30"/>
      <c r="J17" s="31"/>
      <c r="K17">
        <v>48</v>
      </c>
      <c r="L17">
        <v>3</v>
      </c>
      <c r="M17" s="3">
        <v>46034</v>
      </c>
      <c r="N17" s="3">
        <v>46038</v>
      </c>
      <c r="O17" t="s">
        <v>103</v>
      </c>
    </row>
    <row r="18" spans="1:15" x14ac:dyDescent="0.3">
      <c r="A18" t="s">
        <v>149</v>
      </c>
      <c r="B18" t="s">
        <v>150</v>
      </c>
      <c r="C18" t="s">
        <v>6</v>
      </c>
      <c r="D18" t="s">
        <v>35</v>
      </c>
      <c r="E18" t="s">
        <v>104</v>
      </c>
      <c r="F18" t="s">
        <v>105</v>
      </c>
      <c r="G18" t="s">
        <v>106</v>
      </c>
      <c r="H18" t="s">
        <v>151</v>
      </c>
      <c r="I18" s="30"/>
      <c r="J18" s="31"/>
      <c r="K18">
        <v>48</v>
      </c>
      <c r="L18">
        <v>3</v>
      </c>
      <c r="M18" s="3">
        <v>46034</v>
      </c>
      <c r="N18" s="3">
        <v>46038</v>
      </c>
      <c r="O18" t="s">
        <v>103</v>
      </c>
    </row>
    <row r="19" spans="1:15" x14ac:dyDescent="0.3">
      <c r="A19" t="s">
        <v>149</v>
      </c>
      <c r="B19" t="s">
        <v>150</v>
      </c>
      <c r="C19" t="s">
        <v>6</v>
      </c>
      <c r="D19" t="s">
        <v>36</v>
      </c>
      <c r="E19" t="s">
        <v>104</v>
      </c>
      <c r="F19" t="s">
        <v>105</v>
      </c>
      <c r="G19" t="s">
        <v>106</v>
      </c>
      <c r="H19" t="s">
        <v>151</v>
      </c>
      <c r="I19" s="30"/>
      <c r="J19" s="31"/>
      <c r="K19">
        <v>48</v>
      </c>
      <c r="L19">
        <v>3</v>
      </c>
      <c r="M19" s="3">
        <v>46034</v>
      </c>
      <c r="N19" s="3">
        <v>46038</v>
      </c>
      <c r="O19" t="s">
        <v>103</v>
      </c>
    </row>
    <row r="20" spans="1:15" x14ac:dyDescent="0.3">
      <c r="A20" t="s">
        <v>149</v>
      </c>
      <c r="B20" t="s">
        <v>150</v>
      </c>
      <c r="C20" t="s">
        <v>6</v>
      </c>
      <c r="D20" t="s">
        <v>37</v>
      </c>
      <c r="E20" t="s">
        <v>104</v>
      </c>
      <c r="F20" t="s">
        <v>105</v>
      </c>
      <c r="G20" t="s">
        <v>106</v>
      </c>
      <c r="H20" t="s">
        <v>151</v>
      </c>
      <c r="I20" s="30"/>
      <c r="J20" s="31"/>
      <c r="K20">
        <v>48</v>
      </c>
      <c r="L20">
        <v>3</v>
      </c>
      <c r="M20" s="3">
        <v>46034</v>
      </c>
      <c r="N20" s="3">
        <v>46038</v>
      </c>
      <c r="O20" t="s">
        <v>103</v>
      </c>
    </row>
    <row r="21" spans="1:15" x14ac:dyDescent="0.3">
      <c r="A21" t="s">
        <v>149</v>
      </c>
      <c r="B21" t="s">
        <v>150</v>
      </c>
      <c r="C21" t="s">
        <v>6</v>
      </c>
      <c r="D21" t="s">
        <v>47</v>
      </c>
      <c r="E21" t="s">
        <v>107</v>
      </c>
      <c r="F21" t="s">
        <v>108</v>
      </c>
      <c r="G21" t="s">
        <v>109</v>
      </c>
      <c r="H21" t="s">
        <v>151</v>
      </c>
      <c r="I21" s="30"/>
      <c r="J21" s="31"/>
      <c r="K21">
        <v>49</v>
      </c>
      <c r="L21">
        <v>3</v>
      </c>
      <c r="M21" s="3">
        <v>46034</v>
      </c>
      <c r="N21" s="3">
        <v>46038</v>
      </c>
      <c r="O21" t="s">
        <v>103</v>
      </c>
    </row>
    <row r="22" spans="1:15" x14ac:dyDescent="0.3">
      <c r="A22" t="s">
        <v>149</v>
      </c>
      <c r="B22" t="s">
        <v>150</v>
      </c>
      <c r="C22" t="s">
        <v>6</v>
      </c>
      <c r="D22" t="s">
        <v>48</v>
      </c>
      <c r="E22" t="s">
        <v>107</v>
      </c>
      <c r="F22" t="s">
        <v>108</v>
      </c>
      <c r="G22" t="s">
        <v>109</v>
      </c>
      <c r="H22" t="s">
        <v>151</v>
      </c>
      <c r="I22" s="30"/>
      <c r="J22" s="31"/>
      <c r="K22">
        <v>49</v>
      </c>
      <c r="L22">
        <v>3</v>
      </c>
      <c r="M22" s="3">
        <v>46034</v>
      </c>
      <c r="N22" s="3">
        <v>46038</v>
      </c>
      <c r="O22" t="s">
        <v>103</v>
      </c>
    </row>
    <row r="23" spans="1:15" x14ac:dyDescent="0.3">
      <c r="A23" t="s">
        <v>149</v>
      </c>
      <c r="B23" t="s">
        <v>150</v>
      </c>
      <c r="C23" t="s">
        <v>32</v>
      </c>
      <c r="D23" t="s">
        <v>34</v>
      </c>
      <c r="E23" t="s">
        <v>110</v>
      </c>
      <c r="F23" t="s">
        <v>111</v>
      </c>
      <c r="G23" t="s">
        <v>106</v>
      </c>
      <c r="H23" t="s">
        <v>151</v>
      </c>
      <c r="I23" s="30"/>
      <c r="J23" s="31"/>
      <c r="K23">
        <v>50</v>
      </c>
      <c r="L23">
        <v>3</v>
      </c>
      <c r="M23" s="3">
        <v>46034</v>
      </c>
      <c r="N23" s="3">
        <v>46038</v>
      </c>
      <c r="O23" t="s">
        <v>103</v>
      </c>
    </row>
    <row r="24" spans="1:15" x14ac:dyDescent="0.3">
      <c r="A24" t="s">
        <v>152</v>
      </c>
      <c r="B24" t="s">
        <v>153</v>
      </c>
      <c r="C24" t="s">
        <v>12</v>
      </c>
      <c r="D24" t="s">
        <v>28</v>
      </c>
      <c r="E24" t="s">
        <v>113</v>
      </c>
      <c r="F24" t="s">
        <v>114</v>
      </c>
      <c r="G24" t="s">
        <v>115</v>
      </c>
      <c r="H24" t="s">
        <v>154</v>
      </c>
      <c r="I24" s="30"/>
      <c r="J24" s="31"/>
      <c r="K24">
        <v>51</v>
      </c>
      <c r="L24">
        <v>1</v>
      </c>
      <c r="M24" s="3">
        <v>46020</v>
      </c>
      <c r="N24" s="3">
        <v>46024</v>
      </c>
      <c r="O24" t="s">
        <v>112</v>
      </c>
    </row>
    <row r="25" spans="1:15" x14ac:dyDescent="0.3">
      <c r="A25" t="s">
        <v>155</v>
      </c>
      <c r="B25" t="s">
        <v>156</v>
      </c>
      <c r="C25" t="s">
        <v>12</v>
      </c>
      <c r="D25" t="s">
        <v>24</v>
      </c>
      <c r="E25" t="s">
        <v>116</v>
      </c>
      <c r="F25" t="s">
        <v>117</v>
      </c>
      <c r="G25" t="s">
        <v>118</v>
      </c>
      <c r="H25" t="s">
        <v>88</v>
      </c>
      <c r="I25" s="30"/>
      <c r="J25" s="31"/>
      <c r="K25">
        <v>52</v>
      </c>
      <c r="L25">
        <v>2</v>
      </c>
      <c r="M25" s="3">
        <v>46027</v>
      </c>
      <c r="N25" s="3">
        <v>46031</v>
      </c>
      <c r="O25" t="s">
        <v>82</v>
      </c>
    </row>
    <row r="26" spans="1:15" x14ac:dyDescent="0.3">
      <c r="A26" t="s">
        <v>155</v>
      </c>
      <c r="B26" t="s">
        <v>156</v>
      </c>
      <c r="C26" t="s">
        <v>12</v>
      </c>
      <c r="D26" t="s">
        <v>25</v>
      </c>
      <c r="E26" t="s">
        <v>116</v>
      </c>
      <c r="F26" t="s">
        <v>117</v>
      </c>
      <c r="G26" t="s">
        <v>118</v>
      </c>
      <c r="H26" t="s">
        <v>88</v>
      </c>
      <c r="I26" s="30"/>
      <c r="J26" s="31"/>
      <c r="K26">
        <v>52</v>
      </c>
      <c r="L26">
        <v>2</v>
      </c>
      <c r="M26" s="3">
        <v>46027</v>
      </c>
      <c r="N26" s="3">
        <v>46031</v>
      </c>
      <c r="O26" t="s">
        <v>82</v>
      </c>
    </row>
    <row r="27" spans="1:15" x14ac:dyDescent="0.3">
      <c r="A27" t="s">
        <v>155</v>
      </c>
      <c r="B27" t="s">
        <v>156</v>
      </c>
      <c r="C27" t="s">
        <v>12</v>
      </c>
      <c r="D27" t="s">
        <v>26</v>
      </c>
      <c r="E27" t="s">
        <v>116</v>
      </c>
      <c r="F27" t="s">
        <v>117</v>
      </c>
      <c r="G27" t="s">
        <v>118</v>
      </c>
      <c r="H27" t="s">
        <v>88</v>
      </c>
      <c r="I27" s="30"/>
      <c r="J27" s="31"/>
      <c r="K27">
        <v>52</v>
      </c>
      <c r="L27">
        <v>2</v>
      </c>
      <c r="M27" s="3">
        <v>46027</v>
      </c>
      <c r="N27" s="3">
        <v>46031</v>
      </c>
      <c r="O27" t="s">
        <v>82</v>
      </c>
    </row>
    <row r="28" spans="1:15" x14ac:dyDescent="0.3">
      <c r="A28" t="s">
        <v>155</v>
      </c>
      <c r="B28" t="s">
        <v>156</v>
      </c>
      <c r="C28" t="s">
        <v>12</v>
      </c>
      <c r="D28" t="s">
        <v>27</v>
      </c>
      <c r="E28" t="s">
        <v>116</v>
      </c>
      <c r="F28" t="s">
        <v>117</v>
      </c>
      <c r="G28" t="s">
        <v>118</v>
      </c>
      <c r="H28" t="s">
        <v>88</v>
      </c>
      <c r="I28" s="30"/>
      <c r="J28" s="31"/>
      <c r="K28">
        <v>52</v>
      </c>
      <c r="L28">
        <v>2</v>
      </c>
      <c r="M28" s="3">
        <v>46027</v>
      </c>
      <c r="N28" s="3">
        <v>46031</v>
      </c>
      <c r="O28" t="s">
        <v>82</v>
      </c>
    </row>
    <row r="29" spans="1:15" x14ac:dyDescent="0.3">
      <c r="A29" t="s">
        <v>157</v>
      </c>
      <c r="B29" t="s">
        <v>158</v>
      </c>
      <c r="C29" t="s">
        <v>8</v>
      </c>
      <c r="D29" t="s">
        <v>42</v>
      </c>
      <c r="E29" t="s">
        <v>119</v>
      </c>
      <c r="F29" t="s">
        <v>120</v>
      </c>
      <c r="G29" t="s">
        <v>121</v>
      </c>
      <c r="H29" t="s">
        <v>145</v>
      </c>
      <c r="I29" s="30"/>
      <c r="J29" s="31"/>
      <c r="K29">
        <v>53</v>
      </c>
      <c r="L29">
        <v>8</v>
      </c>
      <c r="M29" s="3">
        <v>46069</v>
      </c>
      <c r="N29" s="3">
        <v>46073</v>
      </c>
      <c r="O29" t="s">
        <v>94</v>
      </c>
    </row>
    <row r="30" spans="1:15" x14ac:dyDescent="0.3">
      <c r="A30" t="s">
        <v>157</v>
      </c>
      <c r="B30" t="s">
        <v>158</v>
      </c>
      <c r="C30" t="s">
        <v>8</v>
      </c>
      <c r="D30" t="s">
        <v>43</v>
      </c>
      <c r="E30" t="s">
        <v>119</v>
      </c>
      <c r="F30" t="s">
        <v>120</v>
      </c>
      <c r="G30" t="s">
        <v>121</v>
      </c>
      <c r="H30" t="s">
        <v>145</v>
      </c>
      <c r="I30" s="30"/>
      <c r="J30" s="31"/>
      <c r="K30">
        <v>53</v>
      </c>
      <c r="L30">
        <v>8</v>
      </c>
      <c r="M30" s="3">
        <v>46069</v>
      </c>
      <c r="N30" s="3">
        <v>46073</v>
      </c>
      <c r="O30" t="s">
        <v>94</v>
      </c>
    </row>
    <row r="31" spans="1:15" x14ac:dyDescent="0.3">
      <c r="A31" t="s">
        <v>157</v>
      </c>
      <c r="B31" t="s">
        <v>158</v>
      </c>
      <c r="C31" t="s">
        <v>8</v>
      </c>
      <c r="D31" t="s">
        <v>44</v>
      </c>
      <c r="E31" t="s">
        <v>119</v>
      </c>
      <c r="F31" t="s">
        <v>120</v>
      </c>
      <c r="G31" t="s">
        <v>121</v>
      </c>
      <c r="H31" t="s">
        <v>145</v>
      </c>
      <c r="I31" s="30"/>
      <c r="J31" s="31"/>
      <c r="K31">
        <v>53</v>
      </c>
      <c r="L31">
        <v>8</v>
      </c>
      <c r="M31" s="3">
        <v>46069</v>
      </c>
      <c r="N31" s="3">
        <v>46073</v>
      </c>
      <c r="O31" t="s">
        <v>94</v>
      </c>
    </row>
    <row r="32" spans="1:15" x14ac:dyDescent="0.3">
      <c r="A32" t="s">
        <v>157</v>
      </c>
      <c r="B32" t="s">
        <v>158</v>
      </c>
      <c r="C32" t="s">
        <v>8</v>
      </c>
      <c r="D32" t="s">
        <v>45</v>
      </c>
      <c r="E32" t="s">
        <v>119</v>
      </c>
      <c r="F32" t="s">
        <v>120</v>
      </c>
      <c r="G32" t="s">
        <v>121</v>
      </c>
      <c r="H32" t="s">
        <v>145</v>
      </c>
      <c r="I32" s="30"/>
      <c r="J32" s="31"/>
      <c r="K32">
        <v>53</v>
      </c>
      <c r="L32">
        <v>8</v>
      </c>
      <c r="M32" s="3">
        <v>46069</v>
      </c>
      <c r="N32" s="3">
        <v>46073</v>
      </c>
      <c r="O32" t="s">
        <v>94</v>
      </c>
    </row>
    <row r="33" spans="1:15" x14ac:dyDescent="0.3">
      <c r="A33" t="s">
        <v>157</v>
      </c>
      <c r="B33" t="s">
        <v>158</v>
      </c>
      <c r="C33" t="s">
        <v>8</v>
      </c>
      <c r="D33" t="s">
        <v>46</v>
      </c>
      <c r="E33" t="s">
        <v>119</v>
      </c>
      <c r="F33" t="s">
        <v>120</v>
      </c>
      <c r="G33" t="s">
        <v>121</v>
      </c>
      <c r="H33" t="s">
        <v>145</v>
      </c>
      <c r="I33" s="30"/>
      <c r="J33" s="31"/>
      <c r="K33">
        <v>53</v>
      </c>
      <c r="L33">
        <v>8</v>
      </c>
      <c r="M33" s="3">
        <v>46069</v>
      </c>
      <c r="N33" s="3">
        <v>46073</v>
      </c>
      <c r="O33" t="s">
        <v>94</v>
      </c>
    </row>
    <row r="34" spans="1:15" x14ac:dyDescent="0.3">
      <c r="A34" t="s">
        <v>157</v>
      </c>
      <c r="B34" t="s">
        <v>158</v>
      </c>
      <c r="C34" t="s">
        <v>8</v>
      </c>
      <c r="D34" t="s">
        <v>33</v>
      </c>
      <c r="E34" t="s">
        <v>122</v>
      </c>
      <c r="F34" t="s">
        <v>123</v>
      </c>
      <c r="G34" t="s">
        <v>124</v>
      </c>
      <c r="H34" t="s">
        <v>145</v>
      </c>
      <c r="I34" s="30"/>
      <c r="J34" s="31"/>
      <c r="K34">
        <v>54</v>
      </c>
      <c r="L34">
        <v>8</v>
      </c>
      <c r="M34" s="3">
        <v>46069</v>
      </c>
      <c r="N34" s="3">
        <v>46073</v>
      </c>
      <c r="O34" t="s">
        <v>94</v>
      </c>
    </row>
    <row r="35" spans="1:15" x14ac:dyDescent="0.3">
      <c r="A35" t="s">
        <v>157</v>
      </c>
      <c r="B35" t="s">
        <v>158</v>
      </c>
      <c r="C35" t="s">
        <v>8</v>
      </c>
      <c r="D35" t="s">
        <v>34</v>
      </c>
      <c r="E35" t="s">
        <v>122</v>
      </c>
      <c r="F35" t="s">
        <v>123</v>
      </c>
      <c r="G35" t="s">
        <v>124</v>
      </c>
      <c r="H35" t="s">
        <v>145</v>
      </c>
      <c r="I35" s="30"/>
      <c r="J35" s="31"/>
      <c r="K35">
        <v>54</v>
      </c>
      <c r="L35">
        <v>8</v>
      </c>
      <c r="M35" s="3">
        <v>46069</v>
      </c>
      <c r="N35" s="3">
        <v>46073</v>
      </c>
      <c r="O35" t="s">
        <v>94</v>
      </c>
    </row>
    <row r="36" spans="1:15" x14ac:dyDescent="0.3">
      <c r="A36" t="s">
        <v>157</v>
      </c>
      <c r="B36" t="s">
        <v>158</v>
      </c>
      <c r="C36" t="s">
        <v>8</v>
      </c>
      <c r="D36" t="s">
        <v>35</v>
      </c>
      <c r="E36" t="s">
        <v>122</v>
      </c>
      <c r="F36" t="s">
        <v>123</v>
      </c>
      <c r="G36" t="s">
        <v>124</v>
      </c>
      <c r="H36" t="s">
        <v>145</v>
      </c>
      <c r="I36" s="30"/>
      <c r="J36" s="31"/>
      <c r="K36">
        <v>54</v>
      </c>
      <c r="L36">
        <v>8</v>
      </c>
      <c r="M36" s="3">
        <v>46069</v>
      </c>
      <c r="N36" s="3">
        <v>46073</v>
      </c>
      <c r="O36" t="s">
        <v>94</v>
      </c>
    </row>
    <row r="37" spans="1:15" x14ac:dyDescent="0.3">
      <c r="A37" t="s">
        <v>157</v>
      </c>
      <c r="B37" t="s">
        <v>158</v>
      </c>
      <c r="C37" t="s">
        <v>8</v>
      </c>
      <c r="D37" t="s">
        <v>36</v>
      </c>
      <c r="E37" t="s">
        <v>122</v>
      </c>
      <c r="F37" t="s">
        <v>123</v>
      </c>
      <c r="G37" t="s">
        <v>124</v>
      </c>
      <c r="H37" t="s">
        <v>145</v>
      </c>
      <c r="I37" s="30"/>
      <c r="J37" s="31"/>
      <c r="K37">
        <v>54</v>
      </c>
      <c r="L37">
        <v>8</v>
      </c>
      <c r="M37" s="3">
        <v>46069</v>
      </c>
      <c r="N37" s="3">
        <v>46073</v>
      </c>
      <c r="O37" t="s">
        <v>94</v>
      </c>
    </row>
    <row r="38" spans="1:15" x14ac:dyDescent="0.3">
      <c r="A38" t="s">
        <v>157</v>
      </c>
      <c r="B38" t="s">
        <v>158</v>
      </c>
      <c r="C38" t="s">
        <v>8</v>
      </c>
      <c r="D38" t="s">
        <v>37</v>
      </c>
      <c r="E38" t="s">
        <v>122</v>
      </c>
      <c r="F38" t="s">
        <v>123</v>
      </c>
      <c r="G38" t="s">
        <v>124</v>
      </c>
      <c r="H38" t="s">
        <v>145</v>
      </c>
      <c r="I38" s="30"/>
      <c r="J38" s="31"/>
      <c r="K38">
        <v>54</v>
      </c>
      <c r="L38">
        <v>8</v>
      </c>
      <c r="M38" s="3">
        <v>46069</v>
      </c>
      <c r="N38" s="3">
        <v>46073</v>
      </c>
      <c r="O38" t="s">
        <v>94</v>
      </c>
    </row>
    <row r="39" spans="1:15" x14ac:dyDescent="0.3">
      <c r="A39" t="s">
        <v>157</v>
      </c>
      <c r="B39" t="s">
        <v>158</v>
      </c>
      <c r="C39" t="s">
        <v>8</v>
      </c>
      <c r="D39" t="s">
        <v>47</v>
      </c>
      <c r="E39" t="s">
        <v>125</v>
      </c>
      <c r="F39" t="s">
        <v>126</v>
      </c>
      <c r="G39" t="s">
        <v>127</v>
      </c>
      <c r="H39" t="s">
        <v>145</v>
      </c>
      <c r="I39" s="30"/>
      <c r="J39" s="31"/>
      <c r="K39">
        <v>55</v>
      </c>
      <c r="L39">
        <v>8</v>
      </c>
      <c r="M39" s="3">
        <v>46069</v>
      </c>
      <c r="N39" s="3">
        <v>46073</v>
      </c>
      <c r="O39" t="s">
        <v>94</v>
      </c>
    </row>
    <row r="40" spans="1:15" x14ac:dyDescent="0.3">
      <c r="A40" t="s">
        <v>157</v>
      </c>
      <c r="B40" t="s">
        <v>158</v>
      </c>
      <c r="C40" t="s">
        <v>8</v>
      </c>
      <c r="D40" t="s">
        <v>48</v>
      </c>
      <c r="E40" t="s">
        <v>125</v>
      </c>
      <c r="F40" t="s">
        <v>126</v>
      </c>
      <c r="G40" t="s">
        <v>127</v>
      </c>
      <c r="H40" t="s">
        <v>145</v>
      </c>
      <c r="I40" s="30"/>
      <c r="J40" s="31"/>
      <c r="K40">
        <v>55</v>
      </c>
      <c r="L40">
        <v>8</v>
      </c>
      <c r="M40" s="3">
        <v>46069</v>
      </c>
      <c r="N40" s="3">
        <v>46073</v>
      </c>
      <c r="O40" t="s">
        <v>94</v>
      </c>
    </row>
    <row r="41" spans="1:15" x14ac:dyDescent="0.3">
      <c r="A41" t="s">
        <v>157</v>
      </c>
      <c r="B41" t="s">
        <v>158</v>
      </c>
      <c r="C41" t="s">
        <v>8</v>
      </c>
      <c r="D41" t="s">
        <v>49</v>
      </c>
      <c r="E41" t="s">
        <v>125</v>
      </c>
      <c r="F41" t="s">
        <v>126</v>
      </c>
      <c r="G41" t="s">
        <v>127</v>
      </c>
      <c r="H41" t="s">
        <v>145</v>
      </c>
      <c r="I41" s="30"/>
      <c r="J41" s="31"/>
      <c r="K41">
        <v>55</v>
      </c>
      <c r="L41">
        <v>8</v>
      </c>
      <c r="M41" s="3">
        <v>46069</v>
      </c>
      <c r="N41" s="3">
        <v>46073</v>
      </c>
      <c r="O41" t="s">
        <v>94</v>
      </c>
    </row>
    <row r="42" spans="1:15" x14ac:dyDescent="0.3">
      <c r="A42" t="s">
        <v>157</v>
      </c>
      <c r="B42" t="s">
        <v>158</v>
      </c>
      <c r="C42" t="s">
        <v>8</v>
      </c>
      <c r="D42" t="s">
        <v>50</v>
      </c>
      <c r="E42" t="s">
        <v>125</v>
      </c>
      <c r="F42" t="s">
        <v>126</v>
      </c>
      <c r="G42" t="s">
        <v>127</v>
      </c>
      <c r="H42" t="s">
        <v>145</v>
      </c>
      <c r="I42" s="30"/>
      <c r="J42" s="31"/>
      <c r="K42">
        <v>55</v>
      </c>
      <c r="L42">
        <v>8</v>
      </c>
      <c r="M42" s="3">
        <v>46069</v>
      </c>
      <c r="N42" s="3">
        <v>46073</v>
      </c>
      <c r="O42" t="s">
        <v>94</v>
      </c>
    </row>
    <row r="43" spans="1:15" x14ac:dyDescent="0.3">
      <c r="A43" t="s">
        <v>157</v>
      </c>
      <c r="B43" t="s">
        <v>158</v>
      </c>
      <c r="C43" t="s">
        <v>8</v>
      </c>
      <c r="D43" t="s">
        <v>51</v>
      </c>
      <c r="E43" t="s">
        <v>125</v>
      </c>
      <c r="F43" t="s">
        <v>126</v>
      </c>
      <c r="G43" t="s">
        <v>127</v>
      </c>
      <c r="H43" t="s">
        <v>145</v>
      </c>
      <c r="I43" s="30"/>
      <c r="J43" s="31"/>
      <c r="K43">
        <v>55</v>
      </c>
      <c r="L43">
        <v>8</v>
      </c>
      <c r="M43" s="3">
        <v>46069</v>
      </c>
      <c r="N43" s="3">
        <v>46073</v>
      </c>
      <c r="O43" t="s">
        <v>94</v>
      </c>
    </row>
    <row r="44" spans="1:15" x14ac:dyDescent="0.3">
      <c r="A44" t="s">
        <v>159</v>
      </c>
      <c r="B44" t="s">
        <v>160</v>
      </c>
      <c r="C44" t="s">
        <v>7</v>
      </c>
      <c r="D44" t="s">
        <v>24</v>
      </c>
      <c r="E44" t="s">
        <v>128</v>
      </c>
      <c r="F44" t="s">
        <v>129</v>
      </c>
      <c r="H44" t="s">
        <v>154</v>
      </c>
      <c r="I44" s="30"/>
      <c r="J44" s="31"/>
      <c r="K44">
        <v>56</v>
      </c>
      <c r="L44">
        <v>1</v>
      </c>
      <c r="M44" s="3">
        <v>46020</v>
      </c>
      <c r="N44" s="3">
        <v>46024</v>
      </c>
      <c r="O44" t="s">
        <v>112</v>
      </c>
    </row>
    <row r="45" spans="1:15" x14ac:dyDescent="0.3">
      <c r="A45" t="s">
        <v>159</v>
      </c>
      <c r="B45" t="s">
        <v>160</v>
      </c>
      <c r="C45" t="s">
        <v>7</v>
      </c>
      <c r="D45" t="s">
        <v>25</v>
      </c>
      <c r="E45" t="s">
        <v>128</v>
      </c>
      <c r="F45" t="s">
        <v>129</v>
      </c>
      <c r="H45" t="s">
        <v>154</v>
      </c>
      <c r="I45" s="30"/>
      <c r="J45" s="31"/>
      <c r="K45">
        <v>56</v>
      </c>
      <c r="L45">
        <v>1</v>
      </c>
      <c r="M45" s="3">
        <v>46020</v>
      </c>
      <c r="N45" s="3">
        <v>46024</v>
      </c>
      <c r="O45" t="s">
        <v>112</v>
      </c>
    </row>
    <row r="46" spans="1:15" x14ac:dyDescent="0.3">
      <c r="A46" t="s">
        <v>159</v>
      </c>
      <c r="B46" t="s">
        <v>160</v>
      </c>
      <c r="C46" t="s">
        <v>7</v>
      </c>
      <c r="D46" t="s">
        <v>26</v>
      </c>
      <c r="E46" t="s">
        <v>128</v>
      </c>
      <c r="F46" t="s">
        <v>129</v>
      </c>
      <c r="H46" t="s">
        <v>154</v>
      </c>
      <c r="I46" s="30"/>
      <c r="J46" s="31"/>
      <c r="K46">
        <v>56</v>
      </c>
      <c r="L46">
        <v>1</v>
      </c>
      <c r="M46" s="3">
        <v>46020</v>
      </c>
      <c r="N46" s="3">
        <v>46024</v>
      </c>
      <c r="O46" t="s">
        <v>112</v>
      </c>
    </row>
    <row r="47" spans="1:15" x14ac:dyDescent="0.3">
      <c r="A47" t="s">
        <v>159</v>
      </c>
      <c r="B47" t="s">
        <v>160</v>
      </c>
      <c r="C47" t="s">
        <v>7</v>
      </c>
      <c r="D47" t="s">
        <v>27</v>
      </c>
      <c r="E47" t="s">
        <v>128</v>
      </c>
      <c r="F47" t="s">
        <v>129</v>
      </c>
      <c r="H47" t="s">
        <v>154</v>
      </c>
      <c r="I47" s="30"/>
      <c r="J47" s="31"/>
      <c r="K47">
        <v>56</v>
      </c>
      <c r="L47">
        <v>1</v>
      </c>
      <c r="M47" s="3">
        <v>46020</v>
      </c>
      <c r="N47" s="3">
        <v>46024</v>
      </c>
      <c r="O47" t="s">
        <v>112</v>
      </c>
    </row>
    <row r="48" spans="1:15" x14ac:dyDescent="0.3">
      <c r="A48" t="s">
        <v>161</v>
      </c>
      <c r="B48" t="s">
        <v>162</v>
      </c>
      <c r="C48" t="s">
        <v>12</v>
      </c>
      <c r="D48" t="s">
        <v>42</v>
      </c>
      <c r="E48" t="s">
        <v>132</v>
      </c>
      <c r="F48" t="s">
        <v>133</v>
      </c>
      <c r="G48" t="s">
        <v>134</v>
      </c>
      <c r="H48" t="s">
        <v>163</v>
      </c>
      <c r="I48" s="30"/>
      <c r="J48" s="31"/>
      <c r="K48">
        <v>57</v>
      </c>
      <c r="L48">
        <v>12</v>
      </c>
      <c r="M48" s="3">
        <v>46097</v>
      </c>
      <c r="N48" s="3">
        <v>46101</v>
      </c>
      <c r="O48" t="s">
        <v>131</v>
      </c>
    </row>
    <row r="49" spans="1:15" x14ac:dyDescent="0.3">
      <c r="A49" t="s">
        <v>161</v>
      </c>
      <c r="B49" t="s">
        <v>162</v>
      </c>
      <c r="C49" t="s">
        <v>12</v>
      </c>
      <c r="D49" t="s">
        <v>43</v>
      </c>
      <c r="E49" t="s">
        <v>132</v>
      </c>
      <c r="F49" t="s">
        <v>133</v>
      </c>
      <c r="G49" t="s">
        <v>134</v>
      </c>
      <c r="H49" t="s">
        <v>163</v>
      </c>
      <c r="I49" s="30"/>
      <c r="J49" s="31"/>
      <c r="K49">
        <v>57</v>
      </c>
      <c r="L49">
        <v>12</v>
      </c>
      <c r="M49" s="3">
        <v>46097</v>
      </c>
      <c r="N49" s="3">
        <v>46101</v>
      </c>
      <c r="O49" t="s">
        <v>131</v>
      </c>
    </row>
    <row r="50" spans="1:15" x14ac:dyDescent="0.3">
      <c r="A50" t="s">
        <v>161</v>
      </c>
      <c r="B50" t="s">
        <v>162</v>
      </c>
      <c r="C50" t="s">
        <v>12</v>
      </c>
      <c r="D50" t="s">
        <v>45</v>
      </c>
      <c r="E50" t="s">
        <v>132</v>
      </c>
      <c r="F50" t="s">
        <v>133</v>
      </c>
      <c r="G50" t="s">
        <v>134</v>
      </c>
      <c r="H50" t="s">
        <v>163</v>
      </c>
      <c r="I50" s="30"/>
      <c r="J50" s="31"/>
      <c r="K50">
        <v>57</v>
      </c>
      <c r="L50">
        <v>12</v>
      </c>
      <c r="M50" s="3">
        <v>46097</v>
      </c>
      <c r="N50" s="3">
        <v>46101</v>
      </c>
      <c r="O50" t="s">
        <v>131</v>
      </c>
    </row>
    <row r="51" spans="1:15" x14ac:dyDescent="0.3">
      <c r="A51" t="s">
        <v>161</v>
      </c>
      <c r="B51" t="s">
        <v>162</v>
      </c>
      <c r="C51" t="s">
        <v>12</v>
      </c>
      <c r="D51" t="s">
        <v>44</v>
      </c>
      <c r="E51" t="s">
        <v>132</v>
      </c>
      <c r="F51" t="s">
        <v>133</v>
      </c>
      <c r="G51" t="s">
        <v>134</v>
      </c>
      <c r="H51" t="s">
        <v>163</v>
      </c>
      <c r="I51" s="30"/>
      <c r="J51" s="31"/>
      <c r="K51">
        <v>57</v>
      </c>
      <c r="L51">
        <v>12</v>
      </c>
      <c r="M51" s="3">
        <v>46097</v>
      </c>
      <c r="N51" s="3">
        <v>46101</v>
      </c>
      <c r="O51" t="s">
        <v>131</v>
      </c>
    </row>
    <row r="52" spans="1:15" x14ac:dyDescent="0.3">
      <c r="A52" t="s">
        <v>161</v>
      </c>
      <c r="B52" t="s">
        <v>162</v>
      </c>
      <c r="C52" t="s">
        <v>12</v>
      </c>
      <c r="D52" t="s">
        <v>46</v>
      </c>
      <c r="E52" t="s">
        <v>132</v>
      </c>
      <c r="F52" t="s">
        <v>133</v>
      </c>
      <c r="G52" t="s">
        <v>134</v>
      </c>
      <c r="H52" t="s">
        <v>163</v>
      </c>
      <c r="I52" s="30"/>
      <c r="J52" s="31"/>
      <c r="K52">
        <v>57</v>
      </c>
      <c r="L52">
        <v>12</v>
      </c>
      <c r="M52" s="3">
        <v>46097</v>
      </c>
      <c r="N52" s="3">
        <v>46101</v>
      </c>
      <c r="O52" t="s">
        <v>131</v>
      </c>
    </row>
    <row r="53" spans="1:15" x14ac:dyDescent="0.3">
      <c r="A53" t="s">
        <v>92</v>
      </c>
      <c r="B53" t="s">
        <v>93</v>
      </c>
      <c r="C53" t="s">
        <v>13</v>
      </c>
      <c r="D53" t="s">
        <v>24</v>
      </c>
      <c r="E53" t="s">
        <v>135</v>
      </c>
      <c r="F53" t="s">
        <v>136</v>
      </c>
      <c r="G53" t="s">
        <v>137</v>
      </c>
      <c r="H53" t="s">
        <v>151</v>
      </c>
      <c r="I53" s="30"/>
      <c r="J53" s="31"/>
      <c r="K53">
        <v>58</v>
      </c>
      <c r="L53">
        <v>3</v>
      </c>
      <c r="M53" s="3">
        <v>46034</v>
      </c>
      <c r="N53" s="3">
        <v>46038</v>
      </c>
      <c r="O53" t="s">
        <v>103</v>
      </c>
    </row>
    <row r="54" spans="1:15" x14ac:dyDescent="0.3">
      <c r="A54" t="s">
        <v>92</v>
      </c>
      <c r="B54" t="s">
        <v>93</v>
      </c>
      <c r="C54" t="s">
        <v>13</v>
      </c>
      <c r="D54" t="s">
        <v>25</v>
      </c>
      <c r="E54" t="s">
        <v>135</v>
      </c>
      <c r="F54" t="s">
        <v>136</v>
      </c>
      <c r="G54" t="s">
        <v>137</v>
      </c>
      <c r="H54" t="s">
        <v>151</v>
      </c>
      <c r="I54" s="30"/>
      <c r="J54" s="31"/>
      <c r="K54">
        <v>58</v>
      </c>
      <c r="L54">
        <v>3</v>
      </c>
      <c r="M54" s="3">
        <v>46034</v>
      </c>
      <c r="N54" s="3">
        <v>46038</v>
      </c>
      <c r="O54" t="s">
        <v>103</v>
      </c>
    </row>
    <row r="55" spans="1:15" x14ac:dyDescent="0.3">
      <c r="A55" t="s">
        <v>92</v>
      </c>
      <c r="B55" t="s">
        <v>93</v>
      </c>
      <c r="C55" t="s">
        <v>13</v>
      </c>
      <c r="D55" t="s">
        <v>26</v>
      </c>
      <c r="E55" t="s">
        <v>135</v>
      </c>
      <c r="F55" t="s">
        <v>136</v>
      </c>
      <c r="G55" t="s">
        <v>137</v>
      </c>
      <c r="H55" t="s">
        <v>151</v>
      </c>
      <c r="I55" s="30"/>
      <c r="J55" s="31"/>
      <c r="K55">
        <v>58</v>
      </c>
      <c r="L55">
        <v>3</v>
      </c>
      <c r="M55" s="3">
        <v>46034</v>
      </c>
      <c r="N55" s="3">
        <v>46038</v>
      </c>
      <c r="O55" t="s">
        <v>103</v>
      </c>
    </row>
    <row r="56" spans="1:15" x14ac:dyDescent="0.3">
      <c r="A56" t="s">
        <v>92</v>
      </c>
      <c r="B56" t="s">
        <v>93</v>
      </c>
      <c r="C56" t="s">
        <v>13</v>
      </c>
      <c r="D56" t="s">
        <v>27</v>
      </c>
      <c r="E56" t="s">
        <v>135</v>
      </c>
      <c r="F56" t="s">
        <v>136</v>
      </c>
      <c r="G56" t="s">
        <v>137</v>
      </c>
      <c r="H56" t="s">
        <v>151</v>
      </c>
      <c r="I56" s="30"/>
      <c r="J56" s="31"/>
      <c r="K56">
        <v>58</v>
      </c>
      <c r="L56">
        <v>3</v>
      </c>
      <c r="M56" s="3">
        <v>46034</v>
      </c>
      <c r="N56" s="3">
        <v>46038</v>
      </c>
      <c r="O56" t="s">
        <v>103</v>
      </c>
    </row>
    <row r="57" spans="1:15" x14ac:dyDescent="0.3">
      <c r="A57" t="s">
        <v>92</v>
      </c>
      <c r="B57" t="s">
        <v>93</v>
      </c>
      <c r="C57" t="s">
        <v>13</v>
      </c>
      <c r="D57" t="s">
        <v>38</v>
      </c>
      <c r="E57" t="s">
        <v>138</v>
      </c>
      <c r="F57" t="s">
        <v>139</v>
      </c>
      <c r="H57" t="s">
        <v>151</v>
      </c>
      <c r="I57" s="30"/>
      <c r="J57" s="31"/>
      <c r="K57">
        <v>59</v>
      </c>
      <c r="L57">
        <v>3</v>
      </c>
      <c r="M57" s="3">
        <v>46034</v>
      </c>
      <c r="N57" s="3">
        <v>46038</v>
      </c>
      <c r="O57" t="s">
        <v>103</v>
      </c>
    </row>
    <row r="58" spans="1:15" x14ac:dyDescent="0.3">
      <c r="A58" t="s">
        <v>92</v>
      </c>
      <c r="B58" t="s">
        <v>93</v>
      </c>
      <c r="C58" t="s">
        <v>13</v>
      </c>
      <c r="D58" t="s">
        <v>39</v>
      </c>
      <c r="E58" t="s">
        <v>138</v>
      </c>
      <c r="F58" t="s">
        <v>139</v>
      </c>
      <c r="H58" t="s">
        <v>151</v>
      </c>
      <c r="I58" s="30"/>
      <c r="J58" s="31"/>
      <c r="K58">
        <v>59</v>
      </c>
      <c r="L58">
        <v>3</v>
      </c>
      <c r="M58" s="3">
        <v>46034</v>
      </c>
      <c r="N58" s="3">
        <v>46038</v>
      </c>
      <c r="O58" t="s">
        <v>103</v>
      </c>
    </row>
    <row r="59" spans="1:15" x14ac:dyDescent="0.3">
      <c r="A59" t="s">
        <v>92</v>
      </c>
      <c r="B59" t="s">
        <v>93</v>
      </c>
      <c r="C59" t="s">
        <v>13</v>
      </c>
      <c r="D59" t="s">
        <v>40</v>
      </c>
      <c r="E59" t="s">
        <v>138</v>
      </c>
      <c r="F59" t="s">
        <v>139</v>
      </c>
      <c r="H59" t="s">
        <v>151</v>
      </c>
      <c r="I59" s="30"/>
      <c r="J59" s="31"/>
      <c r="K59">
        <v>59</v>
      </c>
      <c r="L59">
        <v>3</v>
      </c>
      <c r="M59" s="3">
        <v>46034</v>
      </c>
      <c r="N59" s="3">
        <v>46038</v>
      </c>
      <c r="O59" t="s">
        <v>103</v>
      </c>
    </row>
    <row r="60" spans="1:15" x14ac:dyDescent="0.3">
      <c r="A60" t="s">
        <v>92</v>
      </c>
      <c r="B60" t="s">
        <v>93</v>
      </c>
      <c r="C60" t="s">
        <v>13</v>
      </c>
      <c r="D60" t="s">
        <v>41</v>
      </c>
      <c r="E60" t="s">
        <v>138</v>
      </c>
      <c r="F60" t="s">
        <v>139</v>
      </c>
      <c r="H60" t="s">
        <v>151</v>
      </c>
      <c r="I60" s="30"/>
      <c r="J60" s="31"/>
      <c r="K60">
        <v>59</v>
      </c>
      <c r="L60">
        <v>3</v>
      </c>
      <c r="M60" s="3">
        <v>46034</v>
      </c>
      <c r="N60" s="3">
        <v>46038</v>
      </c>
      <c r="O60" t="s">
        <v>103</v>
      </c>
    </row>
    <row r="61" spans="1:15" x14ac:dyDescent="0.3">
      <c r="A61" t="s">
        <v>92</v>
      </c>
      <c r="B61" t="s">
        <v>93</v>
      </c>
      <c r="C61" t="s">
        <v>14</v>
      </c>
      <c r="D61" t="s">
        <v>38</v>
      </c>
      <c r="E61" t="s">
        <v>140</v>
      </c>
      <c r="G61" t="s">
        <v>141</v>
      </c>
      <c r="H61" t="s">
        <v>151</v>
      </c>
      <c r="I61" s="30"/>
      <c r="J61" s="31"/>
      <c r="K61">
        <v>60</v>
      </c>
      <c r="L61">
        <v>3</v>
      </c>
      <c r="M61" s="3">
        <v>46034</v>
      </c>
      <c r="N61" s="3">
        <v>46038</v>
      </c>
      <c r="O61" t="s">
        <v>103</v>
      </c>
    </row>
    <row r="62" spans="1:15" x14ac:dyDescent="0.3">
      <c r="A62" t="s">
        <v>92</v>
      </c>
      <c r="B62" t="s">
        <v>93</v>
      </c>
      <c r="C62" t="s">
        <v>14</v>
      </c>
      <c r="D62" t="s">
        <v>40</v>
      </c>
      <c r="E62" t="s">
        <v>140</v>
      </c>
      <c r="G62" t="s">
        <v>141</v>
      </c>
      <c r="H62" t="s">
        <v>151</v>
      </c>
      <c r="I62" s="30"/>
      <c r="J62" s="31"/>
      <c r="K62">
        <v>60</v>
      </c>
      <c r="L62">
        <v>3</v>
      </c>
      <c r="M62" s="3">
        <v>46034</v>
      </c>
      <c r="N62" s="3">
        <v>46038</v>
      </c>
      <c r="O62" t="s">
        <v>103</v>
      </c>
    </row>
    <row r="63" spans="1:15" x14ac:dyDescent="0.3">
      <c r="A63" t="s">
        <v>92</v>
      </c>
      <c r="B63" t="s">
        <v>93</v>
      </c>
      <c r="C63" t="s">
        <v>14</v>
      </c>
      <c r="D63" t="s">
        <v>39</v>
      </c>
      <c r="E63" t="s">
        <v>140</v>
      </c>
      <c r="G63" t="s">
        <v>141</v>
      </c>
      <c r="H63" t="s">
        <v>151</v>
      </c>
      <c r="I63" s="30"/>
      <c r="J63" s="31"/>
      <c r="K63">
        <v>60</v>
      </c>
      <c r="L63">
        <v>3</v>
      </c>
      <c r="M63" s="3">
        <v>46034</v>
      </c>
      <c r="N63" s="3">
        <v>46038</v>
      </c>
      <c r="O63" t="s">
        <v>103</v>
      </c>
    </row>
    <row r="64" spans="1:15" x14ac:dyDescent="0.3">
      <c r="A64" t="s">
        <v>92</v>
      </c>
      <c r="B64" t="s">
        <v>93</v>
      </c>
      <c r="C64" t="s">
        <v>14</v>
      </c>
      <c r="D64" t="s">
        <v>42</v>
      </c>
      <c r="E64" t="s">
        <v>142</v>
      </c>
      <c r="H64" t="s">
        <v>151</v>
      </c>
      <c r="I64" s="30"/>
      <c r="J64" s="31"/>
      <c r="K64">
        <v>61</v>
      </c>
      <c r="L64">
        <v>3</v>
      </c>
      <c r="M64" s="3">
        <v>46034</v>
      </c>
      <c r="N64" s="3">
        <v>46038</v>
      </c>
      <c r="O64" t="s">
        <v>103</v>
      </c>
    </row>
    <row r="65" spans="1:15" x14ac:dyDescent="0.3">
      <c r="A65" t="s">
        <v>92</v>
      </c>
      <c r="B65" t="s">
        <v>93</v>
      </c>
      <c r="C65" t="s">
        <v>14</v>
      </c>
      <c r="D65" t="s">
        <v>43</v>
      </c>
      <c r="E65" t="s">
        <v>142</v>
      </c>
      <c r="H65" t="s">
        <v>151</v>
      </c>
      <c r="I65" s="30"/>
      <c r="J65" s="31"/>
      <c r="K65">
        <v>61</v>
      </c>
      <c r="L65">
        <v>3</v>
      </c>
      <c r="M65" s="3">
        <v>46034</v>
      </c>
      <c r="N65" s="3">
        <v>46038</v>
      </c>
      <c r="O65" t="s">
        <v>103</v>
      </c>
    </row>
    <row r="66" spans="1:15" x14ac:dyDescent="0.3">
      <c r="A66" t="s">
        <v>179</v>
      </c>
      <c r="B66" t="s">
        <v>180</v>
      </c>
      <c r="C66" t="s">
        <v>12</v>
      </c>
      <c r="D66" t="s">
        <v>35</v>
      </c>
      <c r="E66" t="s">
        <v>164</v>
      </c>
      <c r="F66" t="s">
        <v>165</v>
      </c>
      <c r="G66" t="s">
        <v>166</v>
      </c>
      <c r="H66" t="s">
        <v>88</v>
      </c>
      <c r="I66" s="30"/>
      <c r="J66" s="31"/>
      <c r="K66">
        <v>62</v>
      </c>
      <c r="L66">
        <v>2</v>
      </c>
      <c r="M66" s="3">
        <v>46027</v>
      </c>
      <c r="N66" s="3">
        <v>46031</v>
      </c>
      <c r="O66" t="s">
        <v>82</v>
      </c>
    </row>
    <row r="67" spans="1:15" x14ac:dyDescent="0.3">
      <c r="A67" t="s">
        <v>179</v>
      </c>
      <c r="B67" t="s">
        <v>180</v>
      </c>
      <c r="C67" t="s">
        <v>12</v>
      </c>
      <c r="D67" t="s">
        <v>36</v>
      </c>
      <c r="E67" t="s">
        <v>164</v>
      </c>
      <c r="F67" t="s">
        <v>165</v>
      </c>
      <c r="G67" t="s">
        <v>166</v>
      </c>
      <c r="H67" t="s">
        <v>88</v>
      </c>
      <c r="I67" s="30"/>
      <c r="J67" s="31"/>
      <c r="K67">
        <v>62</v>
      </c>
      <c r="L67">
        <v>2</v>
      </c>
      <c r="M67" s="3">
        <v>46027</v>
      </c>
      <c r="N67" s="3">
        <v>46031</v>
      </c>
      <c r="O67" t="s">
        <v>82</v>
      </c>
    </row>
    <row r="68" spans="1:15" x14ac:dyDescent="0.3">
      <c r="A68" t="s">
        <v>179</v>
      </c>
      <c r="B68" t="s">
        <v>180</v>
      </c>
      <c r="C68" t="s">
        <v>12</v>
      </c>
      <c r="D68" t="s">
        <v>47</v>
      </c>
      <c r="E68" t="s">
        <v>164</v>
      </c>
      <c r="F68" t="s">
        <v>165</v>
      </c>
      <c r="G68" t="s">
        <v>166</v>
      </c>
      <c r="H68" t="s">
        <v>88</v>
      </c>
      <c r="I68" s="30"/>
      <c r="J68" s="31"/>
      <c r="K68">
        <v>62</v>
      </c>
      <c r="L68">
        <v>2</v>
      </c>
      <c r="M68" s="3">
        <v>46027</v>
      </c>
      <c r="N68" s="3">
        <v>46031</v>
      </c>
      <c r="O68" t="s">
        <v>82</v>
      </c>
    </row>
    <row r="69" spans="1:15" x14ac:dyDescent="0.3">
      <c r="A69" t="s">
        <v>179</v>
      </c>
      <c r="B69" t="s">
        <v>180</v>
      </c>
      <c r="C69" t="s">
        <v>12</v>
      </c>
      <c r="D69" t="s">
        <v>50</v>
      </c>
      <c r="E69" t="s">
        <v>167</v>
      </c>
      <c r="F69" t="s">
        <v>168</v>
      </c>
      <c r="G69" t="s">
        <v>169</v>
      </c>
      <c r="H69" t="s">
        <v>88</v>
      </c>
      <c r="I69" s="30"/>
      <c r="J69" s="31"/>
      <c r="K69">
        <v>63</v>
      </c>
      <c r="L69">
        <v>2</v>
      </c>
      <c r="M69" s="3">
        <v>46027</v>
      </c>
      <c r="N69" s="3">
        <v>46031</v>
      </c>
      <c r="O69" t="s">
        <v>82</v>
      </c>
    </row>
    <row r="70" spans="1:15" x14ac:dyDescent="0.3">
      <c r="A70" t="s">
        <v>179</v>
      </c>
      <c r="B70" t="s">
        <v>180</v>
      </c>
      <c r="C70" t="s">
        <v>12</v>
      </c>
      <c r="D70" t="s">
        <v>51</v>
      </c>
      <c r="E70" t="s">
        <v>167</v>
      </c>
      <c r="F70" t="s">
        <v>168</v>
      </c>
      <c r="G70" t="s">
        <v>169</v>
      </c>
      <c r="H70" t="s">
        <v>88</v>
      </c>
      <c r="I70" s="30"/>
      <c r="J70" s="31"/>
      <c r="K70">
        <v>63</v>
      </c>
      <c r="L70">
        <v>2</v>
      </c>
      <c r="M70" s="3">
        <v>46027</v>
      </c>
      <c r="N70" s="3">
        <v>46031</v>
      </c>
      <c r="O70" t="s">
        <v>82</v>
      </c>
    </row>
    <row r="71" spans="1:15" x14ac:dyDescent="0.3">
      <c r="A71" t="s">
        <v>179</v>
      </c>
      <c r="B71" t="s">
        <v>180</v>
      </c>
      <c r="C71" t="s">
        <v>14</v>
      </c>
      <c r="D71" t="s">
        <v>44</v>
      </c>
      <c r="E71" t="s">
        <v>170</v>
      </c>
      <c r="F71" t="s">
        <v>171</v>
      </c>
      <c r="G71" t="s">
        <v>172</v>
      </c>
      <c r="H71" t="s">
        <v>88</v>
      </c>
      <c r="I71" s="30"/>
      <c r="J71" s="31"/>
      <c r="K71">
        <v>64</v>
      </c>
      <c r="L71">
        <v>2</v>
      </c>
      <c r="M71" s="3">
        <v>46027</v>
      </c>
      <c r="N71" s="3">
        <v>46031</v>
      </c>
      <c r="O71" t="s">
        <v>82</v>
      </c>
    </row>
    <row r="72" spans="1:15" x14ac:dyDescent="0.3">
      <c r="A72" t="s">
        <v>179</v>
      </c>
      <c r="B72" t="s">
        <v>180</v>
      </c>
      <c r="C72" t="s">
        <v>14</v>
      </c>
      <c r="D72" t="s">
        <v>45</v>
      </c>
      <c r="E72" t="s">
        <v>170</v>
      </c>
      <c r="F72" t="s">
        <v>171</v>
      </c>
      <c r="G72" t="s">
        <v>172</v>
      </c>
      <c r="H72" t="s">
        <v>88</v>
      </c>
      <c r="I72" s="30"/>
      <c r="J72" s="31"/>
      <c r="K72">
        <v>64</v>
      </c>
      <c r="L72">
        <v>2</v>
      </c>
      <c r="M72" s="3">
        <v>46027</v>
      </c>
      <c r="N72" s="3">
        <v>46031</v>
      </c>
      <c r="O72" t="s">
        <v>82</v>
      </c>
    </row>
    <row r="73" spans="1:15" x14ac:dyDescent="0.3">
      <c r="A73" t="s">
        <v>179</v>
      </c>
      <c r="B73" t="s">
        <v>180</v>
      </c>
      <c r="C73" t="s">
        <v>14</v>
      </c>
      <c r="D73" t="s">
        <v>46</v>
      </c>
      <c r="E73" t="s">
        <v>170</v>
      </c>
      <c r="F73" t="s">
        <v>171</v>
      </c>
      <c r="G73" t="s">
        <v>172</v>
      </c>
      <c r="H73" t="s">
        <v>88</v>
      </c>
      <c r="I73" s="30"/>
      <c r="J73" s="31"/>
      <c r="K73">
        <v>64</v>
      </c>
      <c r="L73">
        <v>2</v>
      </c>
      <c r="M73" s="3">
        <v>46027</v>
      </c>
      <c r="N73" s="3">
        <v>46031</v>
      </c>
      <c r="O73" t="s">
        <v>82</v>
      </c>
    </row>
    <row r="74" spans="1:15" x14ac:dyDescent="0.3">
      <c r="A74" t="s">
        <v>179</v>
      </c>
      <c r="B74" t="s">
        <v>180</v>
      </c>
      <c r="C74" t="s">
        <v>15</v>
      </c>
      <c r="D74" t="s">
        <v>46</v>
      </c>
      <c r="E74" t="s">
        <v>173</v>
      </c>
      <c r="F74" t="s">
        <v>174</v>
      </c>
      <c r="G74" t="s">
        <v>175</v>
      </c>
      <c r="H74" t="s">
        <v>88</v>
      </c>
      <c r="I74" s="30"/>
      <c r="J74" s="31"/>
      <c r="K74">
        <v>65</v>
      </c>
      <c r="L74">
        <v>2</v>
      </c>
      <c r="M74" s="3">
        <v>46027</v>
      </c>
      <c r="N74" s="3">
        <v>46031</v>
      </c>
      <c r="O74" t="s">
        <v>82</v>
      </c>
    </row>
    <row r="75" spans="1:15" x14ac:dyDescent="0.3">
      <c r="A75" t="s">
        <v>179</v>
      </c>
      <c r="B75" t="s">
        <v>180</v>
      </c>
      <c r="C75" t="s">
        <v>70</v>
      </c>
      <c r="D75" t="s">
        <v>36</v>
      </c>
      <c r="E75" t="s">
        <v>176</v>
      </c>
      <c r="F75" t="s">
        <v>177</v>
      </c>
      <c r="G75" t="s">
        <v>178</v>
      </c>
      <c r="H75" t="s">
        <v>88</v>
      </c>
      <c r="I75" s="30"/>
      <c r="J75" s="31"/>
      <c r="K75">
        <v>66</v>
      </c>
      <c r="L75">
        <v>2</v>
      </c>
      <c r="M75" s="3">
        <v>46027</v>
      </c>
      <c r="N75" s="3">
        <v>46031</v>
      </c>
      <c r="O75" t="s">
        <v>82</v>
      </c>
    </row>
    <row r="76" spans="1:15" x14ac:dyDescent="0.3">
      <c r="A76" t="s">
        <v>179</v>
      </c>
      <c r="B76" t="s">
        <v>180</v>
      </c>
      <c r="C76" t="s">
        <v>70</v>
      </c>
      <c r="D76" t="s">
        <v>37</v>
      </c>
      <c r="E76" t="s">
        <v>176</v>
      </c>
      <c r="F76" t="s">
        <v>177</v>
      </c>
      <c r="G76" t="s">
        <v>178</v>
      </c>
      <c r="H76" t="s">
        <v>88</v>
      </c>
      <c r="I76" s="30"/>
      <c r="J76" s="31"/>
      <c r="K76">
        <v>66</v>
      </c>
      <c r="L76">
        <v>2</v>
      </c>
      <c r="M76" s="3">
        <v>46027</v>
      </c>
      <c r="N76" s="3">
        <v>46031</v>
      </c>
      <c r="O76" t="s">
        <v>82</v>
      </c>
    </row>
    <row r="77" spans="1:15" x14ac:dyDescent="0.3">
      <c r="A77" t="s">
        <v>86</v>
      </c>
      <c r="B77" t="s">
        <v>87</v>
      </c>
      <c r="C77" t="s">
        <v>6</v>
      </c>
      <c r="D77" t="s">
        <v>24</v>
      </c>
      <c r="E77" t="s">
        <v>181</v>
      </c>
      <c r="F77" t="s">
        <v>182</v>
      </c>
      <c r="G77" t="s">
        <v>183</v>
      </c>
      <c r="H77" t="s">
        <v>151</v>
      </c>
      <c r="I77" s="30"/>
      <c r="J77" s="31"/>
      <c r="K77">
        <v>67</v>
      </c>
      <c r="L77">
        <v>3</v>
      </c>
      <c r="M77" s="3">
        <v>46034</v>
      </c>
      <c r="N77" s="3">
        <v>46038</v>
      </c>
      <c r="O77" t="s">
        <v>103</v>
      </c>
    </row>
    <row r="78" spans="1:15" x14ac:dyDescent="0.3">
      <c r="A78" t="s">
        <v>86</v>
      </c>
      <c r="B78" t="s">
        <v>87</v>
      </c>
      <c r="C78" t="s">
        <v>6</v>
      </c>
      <c r="D78" t="s">
        <v>25</v>
      </c>
      <c r="E78" t="s">
        <v>181</v>
      </c>
      <c r="F78" t="s">
        <v>182</v>
      </c>
      <c r="G78" t="s">
        <v>183</v>
      </c>
      <c r="H78" t="s">
        <v>151</v>
      </c>
      <c r="I78" s="30"/>
      <c r="J78" s="31"/>
      <c r="K78">
        <v>67</v>
      </c>
      <c r="L78">
        <v>3</v>
      </c>
      <c r="M78" s="3">
        <v>46034</v>
      </c>
      <c r="N78" s="3">
        <v>46038</v>
      </c>
      <c r="O78" t="s">
        <v>103</v>
      </c>
    </row>
    <row r="79" spans="1:15" x14ac:dyDescent="0.3">
      <c r="A79" t="s">
        <v>86</v>
      </c>
      <c r="B79" t="s">
        <v>87</v>
      </c>
      <c r="C79" t="s">
        <v>6</v>
      </c>
      <c r="D79" t="s">
        <v>26</v>
      </c>
      <c r="E79" t="s">
        <v>181</v>
      </c>
      <c r="F79" t="s">
        <v>182</v>
      </c>
      <c r="G79" t="s">
        <v>183</v>
      </c>
      <c r="H79" t="s">
        <v>151</v>
      </c>
      <c r="I79" s="30"/>
      <c r="J79" s="31"/>
      <c r="K79">
        <v>67</v>
      </c>
      <c r="L79">
        <v>3</v>
      </c>
      <c r="M79" s="3">
        <v>46034</v>
      </c>
      <c r="N79" s="3">
        <v>46038</v>
      </c>
      <c r="O79" t="s">
        <v>103</v>
      </c>
    </row>
    <row r="80" spans="1:15" x14ac:dyDescent="0.3">
      <c r="A80" t="s">
        <v>185</v>
      </c>
      <c r="B80" t="s">
        <v>186</v>
      </c>
      <c r="C80" t="s">
        <v>7</v>
      </c>
      <c r="D80" t="s">
        <v>28</v>
      </c>
      <c r="E80" t="s">
        <v>187</v>
      </c>
      <c r="F80" t="s">
        <v>188</v>
      </c>
      <c r="H80" t="s">
        <v>154</v>
      </c>
      <c r="I80" s="30"/>
      <c r="J80" s="31"/>
      <c r="K80">
        <v>68</v>
      </c>
      <c r="L80">
        <v>1</v>
      </c>
      <c r="M80" s="3">
        <v>46020</v>
      </c>
      <c r="N80" s="3">
        <v>46024</v>
      </c>
      <c r="O80" t="s">
        <v>112</v>
      </c>
    </row>
    <row r="81" spans="1:15" x14ac:dyDescent="0.3">
      <c r="A81" t="s">
        <v>185</v>
      </c>
      <c r="B81" t="s">
        <v>186</v>
      </c>
      <c r="C81" t="s">
        <v>7</v>
      </c>
      <c r="D81" t="s">
        <v>29</v>
      </c>
      <c r="E81" t="s">
        <v>187</v>
      </c>
      <c r="F81" t="s">
        <v>188</v>
      </c>
      <c r="H81" t="s">
        <v>154</v>
      </c>
      <c r="I81" s="30"/>
      <c r="J81" s="31"/>
      <c r="K81">
        <v>68</v>
      </c>
      <c r="L81">
        <v>1</v>
      </c>
      <c r="M81" s="3">
        <v>46020</v>
      </c>
      <c r="N81" s="3">
        <v>46024</v>
      </c>
      <c r="O81" t="s">
        <v>112</v>
      </c>
    </row>
    <row r="82" spans="1:15" x14ac:dyDescent="0.3">
      <c r="A82" t="s">
        <v>185</v>
      </c>
      <c r="B82" t="s">
        <v>186</v>
      </c>
      <c r="C82" t="s">
        <v>7</v>
      </c>
      <c r="D82" t="s">
        <v>31</v>
      </c>
      <c r="E82" t="s">
        <v>187</v>
      </c>
      <c r="F82" t="s">
        <v>188</v>
      </c>
      <c r="H82" t="s">
        <v>154</v>
      </c>
      <c r="I82" s="30"/>
      <c r="J82" s="31"/>
      <c r="K82">
        <v>68</v>
      </c>
      <c r="L82">
        <v>1</v>
      </c>
      <c r="M82" s="3">
        <v>46020</v>
      </c>
      <c r="N82" s="3">
        <v>46024</v>
      </c>
      <c r="O82" t="s">
        <v>112</v>
      </c>
    </row>
    <row r="83" spans="1:15" x14ac:dyDescent="0.3">
      <c r="A83" t="s">
        <v>185</v>
      </c>
      <c r="B83" t="s">
        <v>186</v>
      </c>
      <c r="C83" t="s">
        <v>7</v>
      </c>
      <c r="D83" t="s">
        <v>30</v>
      </c>
      <c r="E83" t="s">
        <v>187</v>
      </c>
      <c r="F83" t="s">
        <v>188</v>
      </c>
      <c r="H83" t="s">
        <v>154</v>
      </c>
      <c r="I83" s="30"/>
      <c r="J83" s="31"/>
      <c r="K83">
        <v>68</v>
      </c>
      <c r="L83">
        <v>1</v>
      </c>
      <c r="M83" s="3">
        <v>46020</v>
      </c>
      <c r="N83" s="3">
        <v>46024</v>
      </c>
      <c r="O83" t="s">
        <v>112</v>
      </c>
    </row>
    <row r="84" spans="1:15" x14ac:dyDescent="0.3">
      <c r="A84" t="s">
        <v>185</v>
      </c>
      <c r="B84" t="s">
        <v>186</v>
      </c>
      <c r="C84" t="s">
        <v>7</v>
      </c>
      <c r="D84" t="s">
        <v>38</v>
      </c>
      <c r="E84" t="s">
        <v>189</v>
      </c>
      <c r="F84" t="s">
        <v>190</v>
      </c>
      <c r="H84" t="s">
        <v>154</v>
      </c>
      <c r="I84" s="30"/>
      <c r="J84" s="31"/>
      <c r="K84">
        <v>69</v>
      </c>
      <c r="L84">
        <v>1</v>
      </c>
      <c r="M84" s="3">
        <v>46020</v>
      </c>
      <c r="N84" s="3">
        <v>46024</v>
      </c>
      <c r="O84" t="s">
        <v>112</v>
      </c>
    </row>
    <row r="85" spans="1:15" x14ac:dyDescent="0.3">
      <c r="A85" t="s">
        <v>185</v>
      </c>
      <c r="B85" t="s">
        <v>186</v>
      </c>
      <c r="C85" t="s">
        <v>7</v>
      </c>
      <c r="D85" t="s">
        <v>39</v>
      </c>
      <c r="E85" t="s">
        <v>189</v>
      </c>
      <c r="F85" t="s">
        <v>190</v>
      </c>
      <c r="H85" t="s">
        <v>154</v>
      </c>
      <c r="I85" s="30"/>
      <c r="J85" s="31"/>
      <c r="K85">
        <v>69</v>
      </c>
      <c r="L85">
        <v>1</v>
      </c>
      <c r="M85" s="3">
        <v>46020</v>
      </c>
      <c r="N85" s="3">
        <v>46024</v>
      </c>
      <c r="O85" t="s">
        <v>112</v>
      </c>
    </row>
    <row r="86" spans="1:15" x14ac:dyDescent="0.3">
      <c r="A86" t="s">
        <v>185</v>
      </c>
      <c r="B86" t="s">
        <v>186</v>
      </c>
      <c r="C86" t="s">
        <v>7</v>
      </c>
      <c r="D86" t="s">
        <v>40</v>
      </c>
      <c r="E86" t="s">
        <v>189</v>
      </c>
      <c r="F86" t="s">
        <v>190</v>
      </c>
      <c r="H86" t="s">
        <v>154</v>
      </c>
      <c r="I86" s="30"/>
      <c r="J86" s="31"/>
      <c r="K86">
        <v>69</v>
      </c>
      <c r="L86">
        <v>1</v>
      </c>
      <c r="M86" s="3">
        <v>46020</v>
      </c>
      <c r="N86" s="3">
        <v>46024</v>
      </c>
      <c r="O86" t="s">
        <v>112</v>
      </c>
    </row>
    <row r="87" spans="1:15" x14ac:dyDescent="0.3">
      <c r="A87" t="s">
        <v>185</v>
      </c>
      <c r="B87" t="s">
        <v>186</v>
      </c>
      <c r="C87" t="s">
        <v>7</v>
      </c>
      <c r="D87" t="s">
        <v>41</v>
      </c>
      <c r="E87" t="s">
        <v>189</v>
      </c>
      <c r="F87" t="s">
        <v>190</v>
      </c>
      <c r="H87" t="s">
        <v>154</v>
      </c>
      <c r="I87" s="30"/>
      <c r="J87" s="31"/>
      <c r="K87">
        <v>69</v>
      </c>
      <c r="L87">
        <v>1</v>
      </c>
      <c r="M87" s="3">
        <v>46020</v>
      </c>
      <c r="N87" s="3">
        <v>46024</v>
      </c>
      <c r="O87" t="s">
        <v>112</v>
      </c>
    </row>
    <row r="88" spans="1:15" x14ac:dyDescent="0.3">
      <c r="A88" t="s">
        <v>185</v>
      </c>
      <c r="B88" t="s">
        <v>186</v>
      </c>
      <c r="C88" t="s">
        <v>7</v>
      </c>
      <c r="D88" t="s">
        <v>42</v>
      </c>
      <c r="E88" t="s">
        <v>191</v>
      </c>
      <c r="F88" t="s">
        <v>190</v>
      </c>
      <c r="H88" t="s">
        <v>154</v>
      </c>
      <c r="I88" s="30"/>
      <c r="J88" s="31"/>
      <c r="K88">
        <v>70</v>
      </c>
      <c r="L88">
        <v>1</v>
      </c>
      <c r="M88" s="3">
        <v>46020</v>
      </c>
      <c r="N88" s="3">
        <v>46024</v>
      </c>
      <c r="O88" t="s">
        <v>112</v>
      </c>
    </row>
    <row r="89" spans="1:15" x14ac:dyDescent="0.3">
      <c r="A89" t="s">
        <v>185</v>
      </c>
      <c r="B89" t="s">
        <v>186</v>
      </c>
      <c r="C89" t="s">
        <v>7</v>
      </c>
      <c r="D89" t="s">
        <v>43</v>
      </c>
      <c r="E89" t="s">
        <v>191</v>
      </c>
      <c r="F89" t="s">
        <v>190</v>
      </c>
      <c r="H89" t="s">
        <v>154</v>
      </c>
      <c r="I89" s="30"/>
      <c r="J89" s="31"/>
      <c r="K89">
        <v>70</v>
      </c>
      <c r="L89">
        <v>1</v>
      </c>
      <c r="M89" s="3">
        <v>46020</v>
      </c>
      <c r="N89" s="3">
        <v>46024</v>
      </c>
      <c r="O89" t="s">
        <v>112</v>
      </c>
    </row>
    <row r="90" spans="1:15" x14ac:dyDescent="0.3">
      <c r="A90" t="s">
        <v>185</v>
      </c>
      <c r="B90" t="s">
        <v>186</v>
      </c>
      <c r="C90" t="s">
        <v>7</v>
      </c>
      <c r="D90" t="s">
        <v>44</v>
      </c>
      <c r="E90" t="s">
        <v>191</v>
      </c>
      <c r="F90" t="s">
        <v>190</v>
      </c>
      <c r="H90" t="s">
        <v>154</v>
      </c>
      <c r="I90" s="30"/>
      <c r="J90" s="31"/>
      <c r="K90">
        <v>70</v>
      </c>
      <c r="L90">
        <v>1</v>
      </c>
      <c r="M90" s="3">
        <v>46020</v>
      </c>
      <c r="N90" s="3">
        <v>46024</v>
      </c>
      <c r="O90" t="s">
        <v>112</v>
      </c>
    </row>
    <row r="91" spans="1:15" x14ac:dyDescent="0.3">
      <c r="A91" t="s">
        <v>185</v>
      </c>
      <c r="B91" t="s">
        <v>186</v>
      </c>
      <c r="C91" t="s">
        <v>7</v>
      </c>
      <c r="D91" t="s">
        <v>45</v>
      </c>
      <c r="E91" t="s">
        <v>191</v>
      </c>
      <c r="F91" t="s">
        <v>190</v>
      </c>
      <c r="H91" t="s">
        <v>154</v>
      </c>
      <c r="I91" s="30"/>
      <c r="J91" s="31"/>
      <c r="K91">
        <v>70</v>
      </c>
      <c r="L91">
        <v>1</v>
      </c>
      <c r="M91" s="3">
        <v>46020</v>
      </c>
      <c r="N91" s="3">
        <v>46024</v>
      </c>
      <c r="O91" t="s">
        <v>112</v>
      </c>
    </row>
    <row r="92" spans="1:15" x14ac:dyDescent="0.3">
      <c r="A92" t="s">
        <v>185</v>
      </c>
      <c r="B92" t="s">
        <v>186</v>
      </c>
      <c r="C92" t="s">
        <v>7</v>
      </c>
      <c r="D92" t="s">
        <v>46</v>
      </c>
      <c r="E92" t="s">
        <v>191</v>
      </c>
      <c r="F92" t="s">
        <v>190</v>
      </c>
      <c r="H92" t="s">
        <v>154</v>
      </c>
      <c r="I92" s="30"/>
      <c r="J92" s="31"/>
      <c r="K92">
        <v>70</v>
      </c>
      <c r="L92">
        <v>1</v>
      </c>
      <c r="M92" s="3">
        <v>46020</v>
      </c>
      <c r="N92" s="3">
        <v>46024</v>
      </c>
      <c r="O92" t="s">
        <v>112</v>
      </c>
    </row>
    <row r="93" spans="1:15" x14ac:dyDescent="0.3">
      <c r="A93" t="s">
        <v>185</v>
      </c>
      <c r="B93" t="s">
        <v>186</v>
      </c>
      <c r="C93" t="s">
        <v>7</v>
      </c>
      <c r="D93" t="s">
        <v>33</v>
      </c>
      <c r="E93" t="s">
        <v>192</v>
      </c>
      <c r="F93" t="s">
        <v>193</v>
      </c>
      <c r="H93" t="s">
        <v>154</v>
      </c>
      <c r="I93" s="30"/>
      <c r="J93" s="31"/>
      <c r="K93">
        <v>71</v>
      </c>
      <c r="L93">
        <v>1</v>
      </c>
      <c r="M93" s="3">
        <v>46020</v>
      </c>
      <c r="N93" s="3">
        <v>46024</v>
      </c>
      <c r="O93" t="s">
        <v>112</v>
      </c>
    </row>
    <row r="94" spans="1:15" x14ac:dyDescent="0.3">
      <c r="A94" t="s">
        <v>185</v>
      </c>
      <c r="B94" t="s">
        <v>186</v>
      </c>
      <c r="C94" t="s">
        <v>7</v>
      </c>
      <c r="D94" t="s">
        <v>34</v>
      </c>
      <c r="E94" t="s">
        <v>192</v>
      </c>
      <c r="F94" t="s">
        <v>193</v>
      </c>
      <c r="H94" t="s">
        <v>154</v>
      </c>
      <c r="I94" s="30"/>
      <c r="J94" s="31"/>
      <c r="K94">
        <v>71</v>
      </c>
      <c r="L94">
        <v>1</v>
      </c>
      <c r="M94" s="3">
        <v>46020</v>
      </c>
      <c r="N94" s="3">
        <v>46024</v>
      </c>
      <c r="O94" t="s">
        <v>112</v>
      </c>
    </row>
    <row r="95" spans="1:15" x14ac:dyDescent="0.3">
      <c r="A95" t="s">
        <v>185</v>
      </c>
      <c r="B95" t="s">
        <v>186</v>
      </c>
      <c r="C95" t="s">
        <v>7</v>
      </c>
      <c r="D95" t="s">
        <v>35</v>
      </c>
      <c r="E95" t="s">
        <v>192</v>
      </c>
      <c r="F95" t="s">
        <v>193</v>
      </c>
      <c r="H95" t="s">
        <v>154</v>
      </c>
      <c r="I95" s="30"/>
      <c r="J95" s="31"/>
      <c r="K95">
        <v>71</v>
      </c>
      <c r="L95">
        <v>1</v>
      </c>
      <c r="M95" s="3">
        <v>46020</v>
      </c>
      <c r="N95" s="3">
        <v>46024</v>
      </c>
      <c r="O95" t="s">
        <v>112</v>
      </c>
    </row>
    <row r="96" spans="1:15" x14ac:dyDescent="0.3">
      <c r="A96" t="s">
        <v>185</v>
      </c>
      <c r="B96" t="s">
        <v>186</v>
      </c>
      <c r="C96" t="s">
        <v>7</v>
      </c>
      <c r="D96" t="s">
        <v>36</v>
      </c>
      <c r="E96" t="s">
        <v>192</v>
      </c>
      <c r="F96" t="s">
        <v>193</v>
      </c>
      <c r="H96" t="s">
        <v>154</v>
      </c>
      <c r="I96" s="30"/>
      <c r="J96" s="31"/>
      <c r="K96">
        <v>71</v>
      </c>
      <c r="L96">
        <v>1</v>
      </c>
      <c r="M96" s="3">
        <v>46020</v>
      </c>
      <c r="N96" s="3">
        <v>46024</v>
      </c>
      <c r="O96" t="s">
        <v>112</v>
      </c>
    </row>
    <row r="97" spans="1:15" x14ac:dyDescent="0.3">
      <c r="A97" t="s">
        <v>185</v>
      </c>
      <c r="B97" t="s">
        <v>186</v>
      </c>
      <c r="C97" t="s">
        <v>7</v>
      </c>
      <c r="D97" t="s">
        <v>37</v>
      </c>
      <c r="E97" t="s">
        <v>192</v>
      </c>
      <c r="F97" t="s">
        <v>193</v>
      </c>
      <c r="H97" t="s">
        <v>154</v>
      </c>
      <c r="I97" s="30"/>
      <c r="J97" s="31"/>
      <c r="K97">
        <v>71</v>
      </c>
      <c r="L97">
        <v>1</v>
      </c>
      <c r="M97" s="3">
        <v>46020</v>
      </c>
      <c r="N97" s="3">
        <v>46024</v>
      </c>
      <c r="O97" t="s">
        <v>112</v>
      </c>
    </row>
    <row r="98" spans="1:15" x14ac:dyDescent="0.3">
      <c r="A98" t="s">
        <v>146</v>
      </c>
      <c r="B98" t="s">
        <v>147</v>
      </c>
      <c r="C98" t="s">
        <v>6</v>
      </c>
      <c r="D98" t="s">
        <v>43</v>
      </c>
      <c r="E98" t="s">
        <v>194</v>
      </c>
      <c r="F98" t="s">
        <v>195</v>
      </c>
      <c r="H98" t="s">
        <v>148</v>
      </c>
      <c r="I98" s="30"/>
      <c r="J98" s="31"/>
      <c r="K98">
        <v>72</v>
      </c>
      <c r="L98">
        <v>7</v>
      </c>
      <c r="M98" s="3">
        <v>46062</v>
      </c>
      <c r="N98" s="3">
        <v>46066</v>
      </c>
      <c r="O98" t="s">
        <v>98</v>
      </c>
    </row>
    <row r="99" spans="1:15" x14ac:dyDescent="0.3">
      <c r="A99" t="s">
        <v>146</v>
      </c>
      <c r="B99" t="s">
        <v>147</v>
      </c>
      <c r="C99" t="s">
        <v>6</v>
      </c>
      <c r="D99" t="s">
        <v>44</v>
      </c>
      <c r="E99" t="s">
        <v>194</v>
      </c>
      <c r="F99" t="s">
        <v>195</v>
      </c>
      <c r="H99" t="s">
        <v>148</v>
      </c>
      <c r="I99" s="30"/>
      <c r="J99" s="31"/>
      <c r="K99">
        <v>72</v>
      </c>
      <c r="L99">
        <v>7</v>
      </c>
      <c r="M99" s="3">
        <v>46062</v>
      </c>
      <c r="N99" s="3">
        <v>46066</v>
      </c>
      <c r="O99" t="s">
        <v>98</v>
      </c>
    </row>
    <row r="100" spans="1:15" x14ac:dyDescent="0.3">
      <c r="A100" t="s">
        <v>146</v>
      </c>
      <c r="B100" t="s">
        <v>147</v>
      </c>
      <c r="C100" t="s">
        <v>6</v>
      </c>
      <c r="D100" t="s">
        <v>45</v>
      </c>
      <c r="E100" t="s">
        <v>194</v>
      </c>
      <c r="F100" t="s">
        <v>195</v>
      </c>
      <c r="H100" t="s">
        <v>148</v>
      </c>
      <c r="I100" s="30"/>
      <c r="J100" s="31"/>
      <c r="K100">
        <v>72</v>
      </c>
      <c r="L100">
        <v>7</v>
      </c>
      <c r="M100" s="3">
        <v>46062</v>
      </c>
      <c r="N100" s="3">
        <v>46066</v>
      </c>
      <c r="O100" t="s">
        <v>98</v>
      </c>
    </row>
    <row r="101" spans="1:15" x14ac:dyDescent="0.3">
      <c r="A101" t="s">
        <v>146</v>
      </c>
      <c r="B101" t="s">
        <v>147</v>
      </c>
      <c r="C101" t="s">
        <v>6</v>
      </c>
      <c r="D101" t="s">
        <v>46</v>
      </c>
      <c r="E101" t="s">
        <v>194</v>
      </c>
      <c r="F101" t="s">
        <v>195</v>
      </c>
      <c r="H101" t="s">
        <v>148</v>
      </c>
      <c r="I101" s="30"/>
      <c r="J101" s="31"/>
      <c r="K101">
        <v>72</v>
      </c>
      <c r="L101">
        <v>7</v>
      </c>
      <c r="M101" s="3">
        <v>46062</v>
      </c>
      <c r="N101" s="3">
        <v>46066</v>
      </c>
      <c r="O101" t="s">
        <v>98</v>
      </c>
    </row>
    <row r="102" spans="1:15" x14ac:dyDescent="0.3">
      <c r="A102" t="s">
        <v>146</v>
      </c>
      <c r="B102" t="s">
        <v>147</v>
      </c>
      <c r="C102" t="s">
        <v>6</v>
      </c>
      <c r="D102" t="s">
        <v>42</v>
      </c>
      <c r="E102" t="s">
        <v>196</v>
      </c>
      <c r="F102" t="s">
        <v>197</v>
      </c>
      <c r="H102" t="s">
        <v>148</v>
      </c>
      <c r="I102" s="30"/>
      <c r="J102" s="31"/>
      <c r="K102">
        <v>73</v>
      </c>
      <c r="L102">
        <v>7</v>
      </c>
      <c r="M102" s="3">
        <v>46062</v>
      </c>
      <c r="N102" s="3">
        <v>46066</v>
      </c>
      <c r="O102" t="s">
        <v>98</v>
      </c>
    </row>
    <row r="103" spans="1:15" x14ac:dyDescent="0.3">
      <c r="A103" t="s">
        <v>157</v>
      </c>
      <c r="B103" t="s">
        <v>158</v>
      </c>
      <c r="C103" t="s">
        <v>8</v>
      </c>
      <c r="D103" t="s">
        <v>33</v>
      </c>
      <c r="E103" t="s">
        <v>198</v>
      </c>
      <c r="F103" t="s">
        <v>199</v>
      </c>
      <c r="G103" t="s">
        <v>200</v>
      </c>
      <c r="H103" t="s">
        <v>201</v>
      </c>
      <c r="I103" s="30"/>
      <c r="J103" s="31"/>
      <c r="K103">
        <v>74</v>
      </c>
      <c r="L103">
        <v>9</v>
      </c>
      <c r="M103" s="3">
        <v>46076</v>
      </c>
      <c r="N103" s="3">
        <v>46080</v>
      </c>
      <c r="O103" t="s">
        <v>202</v>
      </c>
    </row>
    <row r="104" spans="1:15" x14ac:dyDescent="0.3">
      <c r="A104" t="s">
        <v>157</v>
      </c>
      <c r="B104" t="s">
        <v>158</v>
      </c>
      <c r="C104" t="s">
        <v>8</v>
      </c>
      <c r="D104" t="s">
        <v>34</v>
      </c>
      <c r="E104" t="s">
        <v>198</v>
      </c>
      <c r="F104" t="s">
        <v>199</v>
      </c>
      <c r="G104" t="s">
        <v>200</v>
      </c>
      <c r="H104" t="s">
        <v>201</v>
      </c>
      <c r="I104" s="30"/>
      <c r="J104" s="31"/>
      <c r="K104">
        <v>74</v>
      </c>
      <c r="L104">
        <v>9</v>
      </c>
      <c r="M104" s="3">
        <v>46076</v>
      </c>
      <c r="N104" s="3">
        <v>46080</v>
      </c>
      <c r="O104" t="s">
        <v>202</v>
      </c>
    </row>
    <row r="105" spans="1:15" x14ac:dyDescent="0.3">
      <c r="A105" t="s">
        <v>157</v>
      </c>
      <c r="B105" t="s">
        <v>158</v>
      </c>
      <c r="C105" t="s">
        <v>8</v>
      </c>
      <c r="D105" t="s">
        <v>35</v>
      </c>
      <c r="E105" t="s">
        <v>198</v>
      </c>
      <c r="F105" t="s">
        <v>199</v>
      </c>
      <c r="G105" t="s">
        <v>200</v>
      </c>
      <c r="H105" t="s">
        <v>201</v>
      </c>
      <c r="I105" s="30"/>
      <c r="J105" s="31"/>
      <c r="K105">
        <v>74</v>
      </c>
      <c r="L105">
        <v>9</v>
      </c>
      <c r="M105" s="3">
        <v>46076</v>
      </c>
      <c r="N105" s="3">
        <v>46080</v>
      </c>
      <c r="O105" t="s">
        <v>202</v>
      </c>
    </row>
    <row r="106" spans="1:15" x14ac:dyDescent="0.3">
      <c r="A106" t="s">
        <v>157</v>
      </c>
      <c r="B106" t="s">
        <v>158</v>
      </c>
      <c r="C106" t="s">
        <v>8</v>
      </c>
      <c r="D106" t="s">
        <v>36</v>
      </c>
      <c r="E106" t="s">
        <v>198</v>
      </c>
      <c r="F106" t="s">
        <v>199</v>
      </c>
      <c r="G106" t="s">
        <v>200</v>
      </c>
      <c r="H106" t="s">
        <v>201</v>
      </c>
      <c r="I106" s="30"/>
      <c r="J106" s="31"/>
      <c r="K106">
        <v>74</v>
      </c>
      <c r="L106">
        <v>9</v>
      </c>
      <c r="M106" s="3">
        <v>46076</v>
      </c>
      <c r="N106" s="3">
        <v>46080</v>
      </c>
      <c r="O106" t="s">
        <v>202</v>
      </c>
    </row>
    <row r="107" spans="1:15" x14ac:dyDescent="0.3">
      <c r="A107" t="s">
        <v>157</v>
      </c>
      <c r="B107" t="s">
        <v>158</v>
      </c>
      <c r="C107" t="s">
        <v>8</v>
      </c>
      <c r="D107" t="s">
        <v>37</v>
      </c>
      <c r="E107" t="s">
        <v>198</v>
      </c>
      <c r="F107" t="s">
        <v>199</v>
      </c>
      <c r="G107" t="s">
        <v>200</v>
      </c>
      <c r="H107" t="s">
        <v>201</v>
      </c>
      <c r="I107" s="30"/>
      <c r="J107" s="31"/>
      <c r="K107">
        <v>74</v>
      </c>
      <c r="L107">
        <v>9</v>
      </c>
      <c r="M107" s="3">
        <v>46076</v>
      </c>
      <c r="N107" s="3">
        <v>46080</v>
      </c>
      <c r="O107" t="s">
        <v>202</v>
      </c>
    </row>
    <row r="108" spans="1:15" x14ac:dyDescent="0.3">
      <c r="A108" t="s">
        <v>157</v>
      </c>
      <c r="B108" t="s">
        <v>158</v>
      </c>
      <c r="C108" t="s">
        <v>8</v>
      </c>
      <c r="D108" t="s">
        <v>42</v>
      </c>
      <c r="E108" t="s">
        <v>203</v>
      </c>
      <c r="F108" t="s">
        <v>204</v>
      </c>
      <c r="G108" t="s">
        <v>205</v>
      </c>
      <c r="H108" t="s">
        <v>201</v>
      </c>
      <c r="I108" s="30"/>
      <c r="J108" s="31"/>
      <c r="K108">
        <v>75</v>
      </c>
      <c r="L108">
        <v>9</v>
      </c>
      <c r="M108" s="3">
        <v>46076</v>
      </c>
      <c r="N108" s="3">
        <v>46080</v>
      </c>
      <c r="O108" t="s">
        <v>202</v>
      </c>
    </row>
    <row r="109" spans="1:15" x14ac:dyDescent="0.3">
      <c r="A109" t="s">
        <v>157</v>
      </c>
      <c r="B109" t="s">
        <v>158</v>
      </c>
      <c r="C109" t="s">
        <v>8</v>
      </c>
      <c r="D109" t="s">
        <v>43</v>
      </c>
      <c r="E109" t="s">
        <v>203</v>
      </c>
      <c r="F109" t="s">
        <v>204</v>
      </c>
      <c r="G109" t="s">
        <v>205</v>
      </c>
      <c r="H109" t="s">
        <v>201</v>
      </c>
      <c r="I109" s="30"/>
      <c r="J109" s="31"/>
      <c r="K109">
        <v>75</v>
      </c>
      <c r="L109">
        <v>9</v>
      </c>
      <c r="M109" s="3">
        <v>46076</v>
      </c>
      <c r="N109" s="3">
        <v>46080</v>
      </c>
      <c r="O109" t="s">
        <v>202</v>
      </c>
    </row>
    <row r="110" spans="1:15" x14ac:dyDescent="0.3">
      <c r="A110" t="s">
        <v>157</v>
      </c>
      <c r="B110" t="s">
        <v>158</v>
      </c>
      <c r="C110" t="s">
        <v>8</v>
      </c>
      <c r="D110" t="s">
        <v>44</v>
      </c>
      <c r="E110" t="s">
        <v>203</v>
      </c>
      <c r="F110" t="s">
        <v>204</v>
      </c>
      <c r="G110" t="s">
        <v>205</v>
      </c>
      <c r="H110" t="s">
        <v>201</v>
      </c>
      <c r="I110" s="30"/>
      <c r="J110" s="31"/>
      <c r="K110">
        <v>75</v>
      </c>
      <c r="L110">
        <v>9</v>
      </c>
      <c r="M110" s="3">
        <v>46076</v>
      </c>
      <c r="N110" s="3">
        <v>46080</v>
      </c>
      <c r="O110" t="s">
        <v>202</v>
      </c>
    </row>
    <row r="111" spans="1:15" x14ac:dyDescent="0.3">
      <c r="A111" t="s">
        <v>157</v>
      </c>
      <c r="B111" t="s">
        <v>158</v>
      </c>
      <c r="C111" t="s">
        <v>8</v>
      </c>
      <c r="D111" t="s">
        <v>45</v>
      </c>
      <c r="E111" t="s">
        <v>203</v>
      </c>
      <c r="F111" t="s">
        <v>204</v>
      </c>
      <c r="G111" t="s">
        <v>205</v>
      </c>
      <c r="H111" t="s">
        <v>201</v>
      </c>
      <c r="I111" s="30"/>
      <c r="J111" s="31"/>
      <c r="K111">
        <v>75</v>
      </c>
      <c r="L111">
        <v>9</v>
      </c>
      <c r="M111" s="3">
        <v>46076</v>
      </c>
      <c r="N111" s="3">
        <v>46080</v>
      </c>
      <c r="O111" t="s">
        <v>202</v>
      </c>
    </row>
    <row r="112" spans="1:15" x14ac:dyDescent="0.3">
      <c r="A112" t="s">
        <v>157</v>
      </c>
      <c r="B112" t="s">
        <v>158</v>
      </c>
      <c r="C112" t="s">
        <v>8</v>
      </c>
      <c r="D112" t="s">
        <v>46</v>
      </c>
      <c r="E112" t="s">
        <v>203</v>
      </c>
      <c r="F112" t="s">
        <v>204</v>
      </c>
      <c r="G112" t="s">
        <v>205</v>
      </c>
      <c r="H112" t="s">
        <v>201</v>
      </c>
      <c r="I112" s="30"/>
      <c r="J112" s="31"/>
      <c r="K112">
        <v>75</v>
      </c>
      <c r="L112">
        <v>9</v>
      </c>
      <c r="M112" s="3">
        <v>46076</v>
      </c>
      <c r="N112" s="3">
        <v>46080</v>
      </c>
      <c r="O112" t="s">
        <v>202</v>
      </c>
    </row>
    <row r="113" spans="1:15" x14ac:dyDescent="0.3">
      <c r="A113" t="s">
        <v>157</v>
      </c>
      <c r="B113" t="s">
        <v>158</v>
      </c>
      <c r="C113" t="s">
        <v>8</v>
      </c>
      <c r="D113" t="s">
        <v>47</v>
      </c>
      <c r="E113" t="s">
        <v>206</v>
      </c>
      <c r="F113" t="s">
        <v>207</v>
      </c>
      <c r="G113" t="s">
        <v>208</v>
      </c>
      <c r="H113" t="s">
        <v>201</v>
      </c>
      <c r="I113" s="30"/>
      <c r="J113" s="31"/>
      <c r="K113">
        <v>76</v>
      </c>
      <c r="L113">
        <v>9</v>
      </c>
      <c r="M113" s="3">
        <v>46076</v>
      </c>
      <c r="N113" s="3">
        <v>46080</v>
      </c>
      <c r="O113" t="s">
        <v>202</v>
      </c>
    </row>
    <row r="114" spans="1:15" x14ac:dyDescent="0.3">
      <c r="A114" t="s">
        <v>157</v>
      </c>
      <c r="B114" t="s">
        <v>158</v>
      </c>
      <c r="C114" t="s">
        <v>8</v>
      </c>
      <c r="D114" t="s">
        <v>48</v>
      </c>
      <c r="E114" t="s">
        <v>206</v>
      </c>
      <c r="F114" t="s">
        <v>207</v>
      </c>
      <c r="G114" t="s">
        <v>208</v>
      </c>
      <c r="H114" t="s">
        <v>201</v>
      </c>
      <c r="I114" s="30"/>
      <c r="J114" s="31"/>
      <c r="K114">
        <v>76</v>
      </c>
      <c r="L114">
        <v>9</v>
      </c>
      <c r="M114" s="3">
        <v>46076</v>
      </c>
      <c r="N114" s="3">
        <v>46080</v>
      </c>
      <c r="O114" t="s">
        <v>202</v>
      </c>
    </row>
    <row r="115" spans="1:15" x14ac:dyDescent="0.3">
      <c r="A115" t="s">
        <v>157</v>
      </c>
      <c r="B115" t="s">
        <v>158</v>
      </c>
      <c r="C115" t="s">
        <v>8</v>
      </c>
      <c r="D115" t="s">
        <v>49</v>
      </c>
      <c r="E115" t="s">
        <v>206</v>
      </c>
      <c r="F115" t="s">
        <v>207</v>
      </c>
      <c r="G115" t="s">
        <v>208</v>
      </c>
      <c r="H115" t="s">
        <v>201</v>
      </c>
      <c r="I115" s="30"/>
      <c r="J115" s="31"/>
      <c r="K115">
        <v>76</v>
      </c>
      <c r="L115">
        <v>9</v>
      </c>
      <c r="M115" s="3">
        <v>46076</v>
      </c>
      <c r="N115" s="3">
        <v>46080</v>
      </c>
      <c r="O115" t="s">
        <v>202</v>
      </c>
    </row>
    <row r="116" spans="1:15" x14ac:dyDescent="0.3">
      <c r="A116" t="s">
        <v>157</v>
      </c>
      <c r="B116" t="s">
        <v>158</v>
      </c>
      <c r="C116" t="s">
        <v>8</v>
      </c>
      <c r="D116" t="s">
        <v>50</v>
      </c>
      <c r="E116" t="s">
        <v>206</v>
      </c>
      <c r="F116" t="s">
        <v>207</v>
      </c>
      <c r="G116" t="s">
        <v>208</v>
      </c>
      <c r="H116" t="s">
        <v>201</v>
      </c>
      <c r="I116" s="30"/>
      <c r="J116" s="31"/>
      <c r="K116">
        <v>76</v>
      </c>
      <c r="L116">
        <v>9</v>
      </c>
      <c r="M116" s="3">
        <v>46076</v>
      </c>
      <c r="N116" s="3">
        <v>46080</v>
      </c>
      <c r="O116" t="s">
        <v>202</v>
      </c>
    </row>
    <row r="117" spans="1:15" x14ac:dyDescent="0.3">
      <c r="A117" t="s">
        <v>157</v>
      </c>
      <c r="B117" t="s">
        <v>158</v>
      </c>
      <c r="C117" t="s">
        <v>8</v>
      </c>
      <c r="D117" t="s">
        <v>51</v>
      </c>
      <c r="E117" t="s">
        <v>206</v>
      </c>
      <c r="F117" t="s">
        <v>207</v>
      </c>
      <c r="G117" t="s">
        <v>208</v>
      </c>
      <c r="H117" t="s">
        <v>201</v>
      </c>
      <c r="I117" s="30"/>
      <c r="J117" s="31"/>
      <c r="K117">
        <v>76</v>
      </c>
      <c r="L117">
        <v>9</v>
      </c>
      <c r="M117" s="3">
        <v>46076</v>
      </c>
      <c r="N117" s="3">
        <v>46080</v>
      </c>
      <c r="O117" t="s">
        <v>202</v>
      </c>
    </row>
    <row r="118" spans="1:15" x14ac:dyDescent="0.3">
      <c r="A118" t="s">
        <v>92</v>
      </c>
      <c r="B118" t="s">
        <v>93</v>
      </c>
      <c r="C118" t="s">
        <v>13</v>
      </c>
      <c r="D118" t="s">
        <v>24</v>
      </c>
      <c r="E118" t="s">
        <v>209</v>
      </c>
      <c r="F118" t="s">
        <v>210</v>
      </c>
      <c r="H118" t="s">
        <v>211</v>
      </c>
      <c r="I118" s="30"/>
      <c r="J118" s="31"/>
      <c r="K118">
        <v>77</v>
      </c>
      <c r="L118">
        <v>4</v>
      </c>
      <c r="M118" s="3">
        <v>46041</v>
      </c>
      <c r="N118" s="3">
        <v>46045</v>
      </c>
      <c r="O118" t="s">
        <v>212</v>
      </c>
    </row>
    <row r="119" spans="1:15" x14ac:dyDescent="0.3">
      <c r="A119" t="s">
        <v>92</v>
      </c>
      <c r="B119" t="s">
        <v>93</v>
      </c>
      <c r="C119" t="s">
        <v>13</v>
      </c>
      <c r="D119" t="s">
        <v>25</v>
      </c>
      <c r="E119" t="s">
        <v>209</v>
      </c>
      <c r="F119" t="s">
        <v>210</v>
      </c>
      <c r="H119" t="s">
        <v>211</v>
      </c>
      <c r="I119" s="30"/>
      <c r="J119" s="31"/>
      <c r="K119">
        <v>77</v>
      </c>
      <c r="L119">
        <v>4</v>
      </c>
      <c r="M119" s="3">
        <v>46041</v>
      </c>
      <c r="N119" s="3">
        <v>46045</v>
      </c>
      <c r="O119" t="s">
        <v>212</v>
      </c>
    </row>
    <row r="120" spans="1:15" x14ac:dyDescent="0.3">
      <c r="A120" t="s">
        <v>92</v>
      </c>
      <c r="B120" t="s">
        <v>93</v>
      </c>
      <c r="C120" t="s">
        <v>13</v>
      </c>
      <c r="D120" t="s">
        <v>26</v>
      </c>
      <c r="E120" t="s">
        <v>209</v>
      </c>
      <c r="F120" t="s">
        <v>210</v>
      </c>
      <c r="H120" t="s">
        <v>211</v>
      </c>
      <c r="I120" s="30"/>
      <c r="J120" s="31"/>
      <c r="K120">
        <v>77</v>
      </c>
      <c r="L120">
        <v>4</v>
      </c>
      <c r="M120" s="3">
        <v>46041</v>
      </c>
      <c r="N120" s="3">
        <v>46045</v>
      </c>
      <c r="O120" t="s">
        <v>212</v>
      </c>
    </row>
    <row r="121" spans="1:15" x14ac:dyDescent="0.3">
      <c r="A121" t="s">
        <v>92</v>
      </c>
      <c r="B121" t="s">
        <v>93</v>
      </c>
      <c r="C121" t="s">
        <v>13</v>
      </c>
      <c r="D121" t="s">
        <v>27</v>
      </c>
      <c r="E121" t="s">
        <v>209</v>
      </c>
      <c r="F121" t="s">
        <v>210</v>
      </c>
      <c r="H121" t="s">
        <v>211</v>
      </c>
      <c r="I121" s="30"/>
      <c r="J121" s="31"/>
      <c r="K121">
        <v>77</v>
      </c>
      <c r="L121">
        <v>4</v>
      </c>
      <c r="M121" s="3">
        <v>46041</v>
      </c>
      <c r="N121" s="3">
        <v>46045</v>
      </c>
      <c r="O121" t="s">
        <v>212</v>
      </c>
    </row>
    <row r="122" spans="1:15" x14ac:dyDescent="0.3">
      <c r="A122" t="s">
        <v>92</v>
      </c>
      <c r="B122" t="s">
        <v>93</v>
      </c>
      <c r="C122" t="s">
        <v>14</v>
      </c>
      <c r="D122" t="s">
        <v>38</v>
      </c>
      <c r="E122" t="s">
        <v>213</v>
      </c>
      <c r="H122" t="s">
        <v>211</v>
      </c>
      <c r="I122" s="30"/>
      <c r="J122" s="31"/>
      <c r="K122">
        <v>78</v>
      </c>
      <c r="L122">
        <v>4</v>
      </c>
      <c r="M122" s="3">
        <v>46041</v>
      </c>
      <c r="N122" s="3">
        <v>46045</v>
      </c>
      <c r="O122" t="s">
        <v>212</v>
      </c>
    </row>
    <row r="123" spans="1:15" x14ac:dyDescent="0.3">
      <c r="A123" t="s">
        <v>92</v>
      </c>
      <c r="B123" t="s">
        <v>93</v>
      </c>
      <c r="C123" t="s">
        <v>14</v>
      </c>
      <c r="D123" t="s">
        <v>39</v>
      </c>
      <c r="E123" t="s">
        <v>213</v>
      </c>
      <c r="H123" t="s">
        <v>211</v>
      </c>
      <c r="I123" s="30"/>
      <c r="J123" s="31"/>
      <c r="K123">
        <v>78</v>
      </c>
      <c r="L123">
        <v>4</v>
      </c>
      <c r="M123" s="3">
        <v>46041</v>
      </c>
      <c r="N123" s="3">
        <v>46045</v>
      </c>
      <c r="O123" t="s">
        <v>212</v>
      </c>
    </row>
    <row r="124" spans="1:15" x14ac:dyDescent="0.3">
      <c r="A124" t="s">
        <v>92</v>
      </c>
      <c r="B124" t="s">
        <v>93</v>
      </c>
      <c r="C124" t="s">
        <v>14</v>
      </c>
      <c r="D124" t="s">
        <v>40</v>
      </c>
      <c r="E124" t="s">
        <v>213</v>
      </c>
      <c r="H124" t="s">
        <v>211</v>
      </c>
      <c r="I124" s="30"/>
      <c r="J124" s="31"/>
      <c r="K124">
        <v>78</v>
      </c>
      <c r="L124">
        <v>4</v>
      </c>
      <c r="M124" s="3">
        <v>46041</v>
      </c>
      <c r="N124" s="3">
        <v>46045</v>
      </c>
      <c r="O124" t="s">
        <v>212</v>
      </c>
    </row>
    <row r="125" spans="1:15" x14ac:dyDescent="0.3">
      <c r="A125" t="s">
        <v>92</v>
      </c>
      <c r="B125" t="s">
        <v>93</v>
      </c>
      <c r="C125" t="s">
        <v>14</v>
      </c>
      <c r="D125" t="s">
        <v>42</v>
      </c>
      <c r="E125" t="s">
        <v>213</v>
      </c>
      <c r="H125" t="s">
        <v>211</v>
      </c>
      <c r="I125" s="30"/>
      <c r="J125" s="31"/>
      <c r="K125">
        <v>79</v>
      </c>
      <c r="L125">
        <v>4</v>
      </c>
      <c r="M125" s="3">
        <v>46041</v>
      </c>
      <c r="N125" s="3">
        <v>46045</v>
      </c>
      <c r="O125" t="s">
        <v>212</v>
      </c>
    </row>
    <row r="126" spans="1:15" x14ac:dyDescent="0.3">
      <c r="A126" t="s">
        <v>92</v>
      </c>
      <c r="B126" t="s">
        <v>93</v>
      </c>
      <c r="C126" t="s">
        <v>14</v>
      </c>
      <c r="D126" t="s">
        <v>43</v>
      </c>
      <c r="E126" t="s">
        <v>213</v>
      </c>
      <c r="H126" t="s">
        <v>211</v>
      </c>
      <c r="I126" s="30"/>
      <c r="J126" s="31"/>
      <c r="K126">
        <v>79</v>
      </c>
      <c r="L126">
        <v>4</v>
      </c>
      <c r="M126" s="3">
        <v>46041</v>
      </c>
      <c r="N126" s="3">
        <v>46045</v>
      </c>
      <c r="O126" t="s">
        <v>212</v>
      </c>
    </row>
    <row r="127" spans="1:15" x14ac:dyDescent="0.3">
      <c r="A127" t="s">
        <v>92</v>
      </c>
      <c r="B127" t="s">
        <v>93</v>
      </c>
      <c r="C127" t="s">
        <v>13</v>
      </c>
      <c r="D127" t="s">
        <v>38</v>
      </c>
      <c r="E127" t="s">
        <v>214</v>
      </c>
      <c r="F127" t="s">
        <v>215</v>
      </c>
      <c r="H127" t="s">
        <v>211</v>
      </c>
      <c r="I127" s="30"/>
      <c r="J127" s="31"/>
      <c r="K127">
        <v>80</v>
      </c>
      <c r="L127">
        <v>4</v>
      </c>
      <c r="M127" s="3">
        <v>46041</v>
      </c>
      <c r="N127" s="3">
        <v>46045</v>
      </c>
      <c r="O127" t="s">
        <v>212</v>
      </c>
    </row>
    <row r="128" spans="1:15" x14ac:dyDescent="0.3">
      <c r="A128" t="s">
        <v>92</v>
      </c>
      <c r="B128" t="s">
        <v>93</v>
      </c>
      <c r="C128" t="s">
        <v>13</v>
      </c>
      <c r="D128" t="s">
        <v>39</v>
      </c>
      <c r="E128" t="s">
        <v>214</v>
      </c>
      <c r="F128" t="s">
        <v>215</v>
      </c>
      <c r="H128" t="s">
        <v>211</v>
      </c>
      <c r="I128" s="30"/>
      <c r="J128" s="31"/>
      <c r="K128">
        <v>80</v>
      </c>
      <c r="L128">
        <v>4</v>
      </c>
      <c r="M128" s="3">
        <v>46041</v>
      </c>
      <c r="N128" s="3">
        <v>46045</v>
      </c>
      <c r="O128" t="s">
        <v>212</v>
      </c>
    </row>
    <row r="129" spans="1:15" x14ac:dyDescent="0.3">
      <c r="A129" t="s">
        <v>92</v>
      </c>
      <c r="B129" t="s">
        <v>93</v>
      </c>
      <c r="C129" t="s">
        <v>13</v>
      </c>
      <c r="D129" t="s">
        <v>40</v>
      </c>
      <c r="E129" t="s">
        <v>214</v>
      </c>
      <c r="F129" t="s">
        <v>215</v>
      </c>
      <c r="H129" t="s">
        <v>211</v>
      </c>
      <c r="I129" s="30"/>
      <c r="J129" s="31"/>
      <c r="K129">
        <v>80</v>
      </c>
      <c r="L129">
        <v>4</v>
      </c>
      <c r="M129" s="3">
        <v>46041</v>
      </c>
      <c r="N129" s="3">
        <v>46045</v>
      </c>
      <c r="O129" t="s">
        <v>212</v>
      </c>
    </row>
    <row r="130" spans="1:15" x14ac:dyDescent="0.3">
      <c r="A130" t="s">
        <v>92</v>
      </c>
      <c r="B130" t="s">
        <v>93</v>
      </c>
      <c r="C130" t="s">
        <v>13</v>
      </c>
      <c r="D130" t="s">
        <v>41</v>
      </c>
      <c r="E130" t="s">
        <v>214</v>
      </c>
      <c r="F130" t="s">
        <v>215</v>
      </c>
      <c r="H130" t="s">
        <v>211</v>
      </c>
      <c r="I130" s="30"/>
      <c r="J130" s="31"/>
      <c r="K130">
        <v>80</v>
      </c>
      <c r="L130">
        <v>4</v>
      </c>
      <c r="M130" s="3">
        <v>46041</v>
      </c>
      <c r="N130" s="3">
        <v>46045</v>
      </c>
      <c r="O130" t="s">
        <v>212</v>
      </c>
    </row>
    <row r="131" spans="1:15" x14ac:dyDescent="0.3">
      <c r="A131" t="s">
        <v>161</v>
      </c>
      <c r="B131" t="s">
        <v>162</v>
      </c>
      <c r="C131" t="s">
        <v>12</v>
      </c>
      <c r="D131" t="s">
        <v>42</v>
      </c>
      <c r="E131" t="s">
        <v>216</v>
      </c>
      <c r="F131" t="s">
        <v>217</v>
      </c>
      <c r="G131" t="s">
        <v>218</v>
      </c>
      <c r="H131" t="s">
        <v>219</v>
      </c>
      <c r="I131" s="30"/>
      <c r="J131" s="31"/>
      <c r="K131">
        <v>81</v>
      </c>
      <c r="L131">
        <v>13</v>
      </c>
      <c r="M131" s="3">
        <v>46104</v>
      </c>
      <c r="N131" s="3">
        <v>46108</v>
      </c>
      <c r="O131" t="s">
        <v>220</v>
      </c>
    </row>
    <row r="132" spans="1:15" x14ac:dyDescent="0.3">
      <c r="A132" t="s">
        <v>161</v>
      </c>
      <c r="B132" t="s">
        <v>162</v>
      </c>
      <c r="C132" t="s">
        <v>12</v>
      </c>
      <c r="D132" t="s">
        <v>43</v>
      </c>
      <c r="E132" t="s">
        <v>216</v>
      </c>
      <c r="F132" t="s">
        <v>217</v>
      </c>
      <c r="G132" t="s">
        <v>218</v>
      </c>
      <c r="H132" t="s">
        <v>219</v>
      </c>
      <c r="I132" s="30"/>
      <c r="J132" s="31"/>
      <c r="K132">
        <v>81</v>
      </c>
      <c r="L132">
        <v>13</v>
      </c>
      <c r="M132" s="3">
        <v>46104</v>
      </c>
      <c r="N132" s="3">
        <v>46108</v>
      </c>
      <c r="O132" t="s">
        <v>220</v>
      </c>
    </row>
    <row r="133" spans="1:15" x14ac:dyDescent="0.3">
      <c r="A133" t="s">
        <v>161</v>
      </c>
      <c r="B133" t="s">
        <v>162</v>
      </c>
      <c r="C133" t="s">
        <v>12</v>
      </c>
      <c r="D133" t="s">
        <v>44</v>
      </c>
      <c r="E133" t="s">
        <v>216</v>
      </c>
      <c r="F133" t="s">
        <v>217</v>
      </c>
      <c r="G133" t="s">
        <v>218</v>
      </c>
      <c r="H133" t="s">
        <v>219</v>
      </c>
      <c r="I133" s="30"/>
      <c r="J133" s="31"/>
      <c r="K133">
        <v>81</v>
      </c>
      <c r="L133">
        <v>13</v>
      </c>
      <c r="M133" s="3">
        <v>46104</v>
      </c>
      <c r="N133" s="3">
        <v>46108</v>
      </c>
      <c r="O133" t="s">
        <v>220</v>
      </c>
    </row>
    <row r="134" spans="1:15" x14ac:dyDescent="0.3">
      <c r="A134" t="s">
        <v>161</v>
      </c>
      <c r="B134" t="s">
        <v>162</v>
      </c>
      <c r="C134" t="s">
        <v>12</v>
      </c>
      <c r="D134" t="s">
        <v>45</v>
      </c>
      <c r="E134" t="s">
        <v>216</v>
      </c>
      <c r="F134" t="s">
        <v>217</v>
      </c>
      <c r="G134" t="s">
        <v>218</v>
      </c>
      <c r="H134" t="s">
        <v>219</v>
      </c>
      <c r="I134" s="30"/>
      <c r="J134" s="31"/>
      <c r="K134">
        <v>81</v>
      </c>
      <c r="L134">
        <v>13</v>
      </c>
      <c r="M134" s="3">
        <v>46104</v>
      </c>
      <c r="N134" s="3">
        <v>46108</v>
      </c>
      <c r="O134" t="s">
        <v>220</v>
      </c>
    </row>
    <row r="135" spans="1:15" x14ac:dyDescent="0.3">
      <c r="A135" t="s">
        <v>161</v>
      </c>
      <c r="B135" t="s">
        <v>162</v>
      </c>
      <c r="C135" t="s">
        <v>12</v>
      </c>
      <c r="D135" t="s">
        <v>46</v>
      </c>
      <c r="E135" t="s">
        <v>216</v>
      </c>
      <c r="F135" t="s">
        <v>217</v>
      </c>
      <c r="G135" t="s">
        <v>218</v>
      </c>
      <c r="H135" t="s">
        <v>219</v>
      </c>
      <c r="I135" s="30"/>
      <c r="J135" s="31"/>
      <c r="K135">
        <v>81</v>
      </c>
      <c r="L135">
        <v>13</v>
      </c>
      <c r="M135" s="3">
        <v>46104</v>
      </c>
      <c r="N135" s="3">
        <v>46108</v>
      </c>
      <c r="O135" t="s">
        <v>220</v>
      </c>
    </row>
    <row r="136" spans="1:15" x14ac:dyDescent="0.3">
      <c r="A136" t="s">
        <v>185</v>
      </c>
      <c r="B136" t="s">
        <v>186</v>
      </c>
      <c r="C136" t="s">
        <v>7</v>
      </c>
      <c r="D136" t="s">
        <v>28</v>
      </c>
      <c r="E136" t="s">
        <v>187</v>
      </c>
      <c r="F136" t="s">
        <v>221</v>
      </c>
      <c r="G136" t="s">
        <v>222</v>
      </c>
      <c r="H136" t="s">
        <v>88</v>
      </c>
      <c r="I136" s="30"/>
      <c r="J136" s="31"/>
      <c r="K136">
        <v>82</v>
      </c>
      <c r="L136">
        <v>2</v>
      </c>
      <c r="M136" s="3">
        <v>46027</v>
      </c>
      <c r="N136" s="3">
        <v>46031</v>
      </c>
      <c r="O136" t="s">
        <v>82</v>
      </c>
    </row>
    <row r="137" spans="1:15" x14ac:dyDescent="0.3">
      <c r="A137" t="s">
        <v>185</v>
      </c>
      <c r="B137" t="s">
        <v>186</v>
      </c>
      <c r="C137" t="s">
        <v>7</v>
      </c>
      <c r="D137" t="s">
        <v>29</v>
      </c>
      <c r="E137" t="s">
        <v>187</v>
      </c>
      <c r="F137" t="s">
        <v>221</v>
      </c>
      <c r="G137" t="s">
        <v>222</v>
      </c>
      <c r="H137" t="s">
        <v>88</v>
      </c>
      <c r="I137" s="30"/>
      <c r="J137" s="31"/>
      <c r="K137">
        <v>82</v>
      </c>
      <c r="L137">
        <v>2</v>
      </c>
      <c r="M137" s="3">
        <v>46027</v>
      </c>
      <c r="N137" s="3">
        <v>46031</v>
      </c>
      <c r="O137" t="s">
        <v>82</v>
      </c>
    </row>
    <row r="138" spans="1:15" x14ac:dyDescent="0.3">
      <c r="A138" t="s">
        <v>185</v>
      </c>
      <c r="B138" t="s">
        <v>186</v>
      </c>
      <c r="C138" t="s">
        <v>7</v>
      </c>
      <c r="D138" t="s">
        <v>31</v>
      </c>
      <c r="E138" t="s">
        <v>187</v>
      </c>
      <c r="F138" t="s">
        <v>221</v>
      </c>
      <c r="G138" t="s">
        <v>222</v>
      </c>
      <c r="H138" t="s">
        <v>88</v>
      </c>
      <c r="I138" s="30"/>
      <c r="J138" s="31"/>
      <c r="K138">
        <v>82</v>
      </c>
      <c r="L138">
        <v>2</v>
      </c>
      <c r="M138" s="3">
        <v>46027</v>
      </c>
      <c r="N138" s="3">
        <v>46031</v>
      </c>
      <c r="O138" t="s">
        <v>82</v>
      </c>
    </row>
    <row r="139" spans="1:15" x14ac:dyDescent="0.3">
      <c r="A139" t="s">
        <v>185</v>
      </c>
      <c r="B139" t="s">
        <v>186</v>
      </c>
      <c r="C139" t="s">
        <v>7</v>
      </c>
      <c r="D139" t="s">
        <v>30</v>
      </c>
      <c r="E139" t="s">
        <v>187</v>
      </c>
      <c r="F139" t="s">
        <v>221</v>
      </c>
      <c r="G139" t="s">
        <v>222</v>
      </c>
      <c r="H139" t="s">
        <v>88</v>
      </c>
      <c r="I139" s="30"/>
      <c r="J139" s="31"/>
      <c r="K139">
        <v>82</v>
      </c>
      <c r="L139">
        <v>2</v>
      </c>
      <c r="M139" s="3">
        <v>46027</v>
      </c>
      <c r="N139" s="3">
        <v>46031</v>
      </c>
      <c r="O139" t="s">
        <v>82</v>
      </c>
    </row>
    <row r="140" spans="1:15" x14ac:dyDescent="0.3">
      <c r="A140" t="s">
        <v>185</v>
      </c>
      <c r="B140" t="s">
        <v>186</v>
      </c>
      <c r="C140" t="s">
        <v>7</v>
      </c>
      <c r="D140" t="s">
        <v>38</v>
      </c>
      <c r="E140" t="s">
        <v>223</v>
      </c>
      <c r="F140" t="s">
        <v>224</v>
      </c>
      <c r="G140" t="s">
        <v>222</v>
      </c>
      <c r="H140" t="s">
        <v>88</v>
      </c>
      <c r="I140" s="30"/>
      <c r="J140" s="31"/>
      <c r="K140">
        <v>83</v>
      </c>
      <c r="L140">
        <v>2</v>
      </c>
      <c r="M140" s="3">
        <v>46027</v>
      </c>
      <c r="N140" s="3">
        <v>46031</v>
      </c>
      <c r="O140" t="s">
        <v>82</v>
      </c>
    </row>
    <row r="141" spans="1:15" x14ac:dyDescent="0.3">
      <c r="A141" t="s">
        <v>185</v>
      </c>
      <c r="B141" t="s">
        <v>186</v>
      </c>
      <c r="C141" t="s">
        <v>7</v>
      </c>
      <c r="D141" t="s">
        <v>39</v>
      </c>
      <c r="E141" t="s">
        <v>223</v>
      </c>
      <c r="F141" t="s">
        <v>224</v>
      </c>
      <c r="G141" t="s">
        <v>222</v>
      </c>
      <c r="H141" t="s">
        <v>88</v>
      </c>
      <c r="I141" s="30"/>
      <c r="J141" s="31"/>
      <c r="K141">
        <v>83</v>
      </c>
      <c r="L141">
        <v>2</v>
      </c>
      <c r="M141" s="3">
        <v>46027</v>
      </c>
      <c r="N141" s="3">
        <v>46031</v>
      </c>
      <c r="O141" t="s">
        <v>82</v>
      </c>
    </row>
    <row r="142" spans="1:15" x14ac:dyDescent="0.3">
      <c r="A142" t="s">
        <v>185</v>
      </c>
      <c r="B142" t="s">
        <v>186</v>
      </c>
      <c r="C142" t="s">
        <v>7</v>
      </c>
      <c r="D142" t="s">
        <v>40</v>
      </c>
      <c r="E142" t="s">
        <v>223</v>
      </c>
      <c r="F142" t="s">
        <v>224</v>
      </c>
      <c r="G142" t="s">
        <v>222</v>
      </c>
      <c r="H142" t="s">
        <v>88</v>
      </c>
      <c r="I142" s="30"/>
      <c r="J142" s="31"/>
      <c r="K142">
        <v>83</v>
      </c>
      <c r="L142">
        <v>2</v>
      </c>
      <c r="M142" s="3">
        <v>46027</v>
      </c>
      <c r="N142" s="3">
        <v>46031</v>
      </c>
      <c r="O142" t="s">
        <v>82</v>
      </c>
    </row>
    <row r="143" spans="1:15" x14ac:dyDescent="0.3">
      <c r="A143" t="s">
        <v>185</v>
      </c>
      <c r="B143" t="s">
        <v>186</v>
      </c>
      <c r="C143" t="s">
        <v>7</v>
      </c>
      <c r="D143" t="s">
        <v>41</v>
      </c>
      <c r="E143" t="s">
        <v>223</v>
      </c>
      <c r="F143" t="s">
        <v>224</v>
      </c>
      <c r="G143" t="s">
        <v>222</v>
      </c>
      <c r="H143" t="s">
        <v>88</v>
      </c>
      <c r="I143" s="30"/>
      <c r="J143" s="31"/>
      <c r="K143">
        <v>83</v>
      </c>
      <c r="L143">
        <v>2</v>
      </c>
      <c r="M143" s="3">
        <v>46027</v>
      </c>
      <c r="N143" s="3">
        <v>46031</v>
      </c>
      <c r="O143" t="s">
        <v>82</v>
      </c>
    </row>
    <row r="144" spans="1:15" x14ac:dyDescent="0.3">
      <c r="A144" t="s">
        <v>185</v>
      </c>
      <c r="B144" t="s">
        <v>186</v>
      </c>
      <c r="C144" t="s">
        <v>7</v>
      </c>
      <c r="D144" t="s">
        <v>42</v>
      </c>
      <c r="E144" t="s">
        <v>225</v>
      </c>
      <c r="F144" t="s">
        <v>224</v>
      </c>
      <c r="G144" t="s">
        <v>222</v>
      </c>
      <c r="H144" t="s">
        <v>88</v>
      </c>
      <c r="I144" s="30"/>
      <c r="J144" s="31"/>
      <c r="K144">
        <v>84</v>
      </c>
      <c r="L144">
        <v>2</v>
      </c>
      <c r="M144" s="3">
        <v>46027</v>
      </c>
      <c r="N144" s="3">
        <v>46031</v>
      </c>
      <c r="O144" t="s">
        <v>82</v>
      </c>
    </row>
    <row r="145" spans="1:15" x14ac:dyDescent="0.3">
      <c r="A145" t="s">
        <v>185</v>
      </c>
      <c r="B145" t="s">
        <v>186</v>
      </c>
      <c r="C145" t="s">
        <v>7</v>
      </c>
      <c r="D145" t="s">
        <v>43</v>
      </c>
      <c r="E145" t="s">
        <v>225</v>
      </c>
      <c r="F145" t="s">
        <v>224</v>
      </c>
      <c r="G145" t="s">
        <v>222</v>
      </c>
      <c r="H145" t="s">
        <v>88</v>
      </c>
      <c r="I145" s="30"/>
      <c r="J145" s="31"/>
      <c r="K145">
        <v>84</v>
      </c>
      <c r="L145">
        <v>2</v>
      </c>
      <c r="M145" s="3">
        <v>46027</v>
      </c>
      <c r="N145" s="3">
        <v>46031</v>
      </c>
      <c r="O145" t="s">
        <v>82</v>
      </c>
    </row>
    <row r="146" spans="1:15" x14ac:dyDescent="0.3">
      <c r="A146" t="s">
        <v>185</v>
      </c>
      <c r="B146" t="s">
        <v>186</v>
      </c>
      <c r="C146" t="s">
        <v>7</v>
      </c>
      <c r="D146" t="s">
        <v>44</v>
      </c>
      <c r="E146" t="s">
        <v>225</v>
      </c>
      <c r="F146" t="s">
        <v>224</v>
      </c>
      <c r="G146" t="s">
        <v>222</v>
      </c>
      <c r="H146" t="s">
        <v>88</v>
      </c>
      <c r="I146" s="30"/>
      <c r="J146" s="31"/>
      <c r="K146">
        <v>84</v>
      </c>
      <c r="L146">
        <v>2</v>
      </c>
      <c r="M146" s="3">
        <v>46027</v>
      </c>
      <c r="N146" s="3">
        <v>46031</v>
      </c>
      <c r="O146" t="s">
        <v>82</v>
      </c>
    </row>
    <row r="147" spans="1:15" x14ac:dyDescent="0.3">
      <c r="A147" t="s">
        <v>185</v>
      </c>
      <c r="B147" t="s">
        <v>186</v>
      </c>
      <c r="C147" t="s">
        <v>7</v>
      </c>
      <c r="D147" t="s">
        <v>45</v>
      </c>
      <c r="E147" t="s">
        <v>225</v>
      </c>
      <c r="F147" t="s">
        <v>224</v>
      </c>
      <c r="G147" t="s">
        <v>222</v>
      </c>
      <c r="H147" t="s">
        <v>88</v>
      </c>
      <c r="I147" s="30"/>
      <c r="J147" s="31"/>
      <c r="K147">
        <v>84</v>
      </c>
      <c r="L147">
        <v>2</v>
      </c>
      <c r="M147" s="3">
        <v>46027</v>
      </c>
      <c r="N147" s="3">
        <v>46031</v>
      </c>
      <c r="O147" t="s">
        <v>82</v>
      </c>
    </row>
    <row r="148" spans="1:15" x14ac:dyDescent="0.3">
      <c r="A148" t="s">
        <v>185</v>
      </c>
      <c r="B148" t="s">
        <v>186</v>
      </c>
      <c r="C148" t="s">
        <v>7</v>
      </c>
      <c r="D148" t="s">
        <v>46</v>
      </c>
      <c r="E148" t="s">
        <v>225</v>
      </c>
      <c r="F148" t="s">
        <v>224</v>
      </c>
      <c r="G148" t="s">
        <v>222</v>
      </c>
      <c r="H148" t="s">
        <v>88</v>
      </c>
      <c r="I148" s="30"/>
      <c r="J148" s="31"/>
      <c r="K148">
        <v>84</v>
      </c>
      <c r="L148">
        <v>2</v>
      </c>
      <c r="M148" s="3">
        <v>46027</v>
      </c>
      <c r="N148" s="3">
        <v>46031</v>
      </c>
      <c r="O148" t="s">
        <v>82</v>
      </c>
    </row>
    <row r="149" spans="1:15" x14ac:dyDescent="0.3">
      <c r="A149" t="s">
        <v>185</v>
      </c>
      <c r="B149" t="s">
        <v>186</v>
      </c>
      <c r="C149" t="s">
        <v>7</v>
      </c>
      <c r="D149" t="s">
        <v>33</v>
      </c>
      <c r="E149" t="s">
        <v>226</v>
      </c>
      <c r="F149" t="s">
        <v>227</v>
      </c>
      <c r="G149" t="s">
        <v>222</v>
      </c>
      <c r="H149" t="s">
        <v>88</v>
      </c>
      <c r="I149" s="30"/>
      <c r="J149" s="31"/>
      <c r="K149">
        <v>85</v>
      </c>
      <c r="L149">
        <v>2</v>
      </c>
      <c r="M149" s="3">
        <v>46027</v>
      </c>
      <c r="N149" s="3">
        <v>46031</v>
      </c>
      <c r="O149" t="s">
        <v>82</v>
      </c>
    </row>
    <row r="150" spans="1:15" x14ac:dyDescent="0.3">
      <c r="A150" t="s">
        <v>185</v>
      </c>
      <c r="B150" t="s">
        <v>186</v>
      </c>
      <c r="C150" t="s">
        <v>7</v>
      </c>
      <c r="D150" t="s">
        <v>34</v>
      </c>
      <c r="E150" t="s">
        <v>226</v>
      </c>
      <c r="F150" t="s">
        <v>227</v>
      </c>
      <c r="G150" t="s">
        <v>222</v>
      </c>
      <c r="H150" t="s">
        <v>88</v>
      </c>
      <c r="I150" s="30"/>
      <c r="J150" s="31"/>
      <c r="K150">
        <v>85</v>
      </c>
      <c r="L150">
        <v>2</v>
      </c>
      <c r="M150" s="3">
        <v>46027</v>
      </c>
      <c r="N150" s="3">
        <v>46031</v>
      </c>
      <c r="O150" t="s">
        <v>82</v>
      </c>
    </row>
    <row r="151" spans="1:15" x14ac:dyDescent="0.3">
      <c r="A151" t="s">
        <v>185</v>
      </c>
      <c r="B151" t="s">
        <v>186</v>
      </c>
      <c r="C151" t="s">
        <v>7</v>
      </c>
      <c r="D151" t="s">
        <v>35</v>
      </c>
      <c r="E151" t="s">
        <v>226</v>
      </c>
      <c r="F151" t="s">
        <v>227</v>
      </c>
      <c r="G151" t="s">
        <v>222</v>
      </c>
      <c r="H151" t="s">
        <v>88</v>
      </c>
      <c r="I151" s="30"/>
      <c r="J151" s="31"/>
      <c r="K151">
        <v>85</v>
      </c>
      <c r="L151">
        <v>2</v>
      </c>
      <c r="M151" s="3">
        <v>46027</v>
      </c>
      <c r="N151" s="3">
        <v>46031</v>
      </c>
      <c r="O151" t="s">
        <v>82</v>
      </c>
    </row>
    <row r="152" spans="1:15" x14ac:dyDescent="0.3">
      <c r="A152" t="s">
        <v>185</v>
      </c>
      <c r="B152" t="s">
        <v>186</v>
      </c>
      <c r="C152" t="s">
        <v>7</v>
      </c>
      <c r="D152" t="s">
        <v>36</v>
      </c>
      <c r="E152" t="s">
        <v>226</v>
      </c>
      <c r="F152" t="s">
        <v>227</v>
      </c>
      <c r="G152" t="s">
        <v>222</v>
      </c>
      <c r="H152" t="s">
        <v>88</v>
      </c>
      <c r="I152" s="30"/>
      <c r="J152" s="31"/>
      <c r="K152">
        <v>85</v>
      </c>
      <c r="L152">
        <v>2</v>
      </c>
      <c r="M152" s="3">
        <v>46027</v>
      </c>
      <c r="N152" s="3">
        <v>46031</v>
      </c>
      <c r="O152" t="s">
        <v>82</v>
      </c>
    </row>
    <row r="153" spans="1:15" x14ac:dyDescent="0.3">
      <c r="A153" t="s">
        <v>185</v>
      </c>
      <c r="B153" t="s">
        <v>186</v>
      </c>
      <c r="C153" t="s">
        <v>7</v>
      </c>
      <c r="D153" t="s">
        <v>37</v>
      </c>
      <c r="E153" t="s">
        <v>226</v>
      </c>
      <c r="F153" t="s">
        <v>227</v>
      </c>
      <c r="G153" t="s">
        <v>222</v>
      </c>
      <c r="H153" t="s">
        <v>88</v>
      </c>
      <c r="I153" s="30"/>
      <c r="J153" s="31"/>
      <c r="K153">
        <v>85</v>
      </c>
      <c r="L153">
        <v>2</v>
      </c>
      <c r="M153" s="3">
        <v>46027</v>
      </c>
      <c r="N153" s="3">
        <v>46031</v>
      </c>
      <c r="O153" t="s">
        <v>82</v>
      </c>
    </row>
    <row r="154" spans="1:15" x14ac:dyDescent="0.3">
      <c r="A154" t="s">
        <v>155</v>
      </c>
      <c r="B154" t="s">
        <v>156</v>
      </c>
      <c r="C154" t="s">
        <v>12</v>
      </c>
      <c r="D154" t="s">
        <v>24</v>
      </c>
      <c r="E154" t="s">
        <v>228</v>
      </c>
      <c r="F154" t="s">
        <v>229</v>
      </c>
      <c r="H154" t="s">
        <v>151</v>
      </c>
      <c r="I154" s="30"/>
      <c r="J154" s="31"/>
      <c r="K154">
        <v>86</v>
      </c>
      <c r="L154">
        <v>3</v>
      </c>
      <c r="M154" s="3">
        <v>46034</v>
      </c>
      <c r="N154" s="3">
        <v>46038</v>
      </c>
      <c r="O154" t="s">
        <v>103</v>
      </c>
    </row>
    <row r="155" spans="1:15" x14ac:dyDescent="0.3">
      <c r="A155" t="s">
        <v>155</v>
      </c>
      <c r="B155" t="s">
        <v>156</v>
      </c>
      <c r="C155" t="s">
        <v>12</v>
      </c>
      <c r="D155" t="s">
        <v>25</v>
      </c>
      <c r="E155" t="s">
        <v>228</v>
      </c>
      <c r="F155" t="s">
        <v>229</v>
      </c>
      <c r="H155" t="s">
        <v>151</v>
      </c>
      <c r="I155" s="30"/>
      <c r="J155" s="31"/>
      <c r="K155">
        <v>86</v>
      </c>
      <c r="L155">
        <v>3</v>
      </c>
      <c r="M155" s="3">
        <v>46034</v>
      </c>
      <c r="N155" s="3">
        <v>46038</v>
      </c>
      <c r="O155" t="s">
        <v>103</v>
      </c>
    </row>
    <row r="156" spans="1:15" x14ac:dyDescent="0.3">
      <c r="A156" t="s">
        <v>155</v>
      </c>
      <c r="B156" t="s">
        <v>156</v>
      </c>
      <c r="C156" t="s">
        <v>12</v>
      </c>
      <c r="D156" t="s">
        <v>26</v>
      </c>
      <c r="E156" t="s">
        <v>228</v>
      </c>
      <c r="F156" t="s">
        <v>229</v>
      </c>
      <c r="H156" t="s">
        <v>151</v>
      </c>
      <c r="I156" s="30"/>
      <c r="J156" s="31"/>
      <c r="K156">
        <v>86</v>
      </c>
      <c r="L156">
        <v>3</v>
      </c>
      <c r="M156" s="3">
        <v>46034</v>
      </c>
      <c r="N156" s="3">
        <v>46038</v>
      </c>
      <c r="O156" t="s">
        <v>103</v>
      </c>
    </row>
    <row r="157" spans="1:15" x14ac:dyDescent="0.3">
      <c r="A157" t="s">
        <v>155</v>
      </c>
      <c r="B157" t="s">
        <v>156</v>
      </c>
      <c r="C157" t="s">
        <v>12</v>
      </c>
      <c r="D157" t="s">
        <v>27</v>
      </c>
      <c r="E157" t="s">
        <v>228</v>
      </c>
      <c r="F157" t="s">
        <v>229</v>
      </c>
      <c r="H157" t="s">
        <v>151</v>
      </c>
      <c r="I157" s="30"/>
      <c r="J157" s="31"/>
      <c r="K157">
        <v>86</v>
      </c>
      <c r="L157">
        <v>3</v>
      </c>
      <c r="M157" s="3">
        <v>46034</v>
      </c>
      <c r="N157" s="3">
        <v>46038</v>
      </c>
      <c r="O157" t="s">
        <v>103</v>
      </c>
    </row>
    <row r="158" spans="1:15" x14ac:dyDescent="0.3">
      <c r="A158" t="s">
        <v>230</v>
      </c>
      <c r="B158" t="s">
        <v>231</v>
      </c>
      <c r="C158" t="s">
        <v>6</v>
      </c>
      <c r="D158" t="s">
        <v>28</v>
      </c>
      <c r="E158" t="s">
        <v>232</v>
      </c>
      <c r="F158" t="s">
        <v>233</v>
      </c>
      <c r="G158" t="s">
        <v>234</v>
      </c>
      <c r="H158" t="s">
        <v>88</v>
      </c>
      <c r="I158" s="30"/>
      <c r="J158" s="31"/>
      <c r="K158">
        <v>87</v>
      </c>
      <c r="L158">
        <v>2</v>
      </c>
      <c r="M158" s="3">
        <v>46027</v>
      </c>
      <c r="N158" s="3">
        <v>46031</v>
      </c>
      <c r="O158" t="s">
        <v>82</v>
      </c>
    </row>
    <row r="159" spans="1:15" x14ac:dyDescent="0.3">
      <c r="A159" t="s">
        <v>230</v>
      </c>
      <c r="B159" t="s">
        <v>231</v>
      </c>
      <c r="C159" t="s">
        <v>6</v>
      </c>
      <c r="D159" t="s">
        <v>29</v>
      </c>
      <c r="E159" t="s">
        <v>232</v>
      </c>
      <c r="F159" t="s">
        <v>233</v>
      </c>
      <c r="G159" t="s">
        <v>234</v>
      </c>
      <c r="H159" t="s">
        <v>88</v>
      </c>
      <c r="I159" s="30"/>
      <c r="J159" s="31"/>
      <c r="K159">
        <v>87</v>
      </c>
      <c r="L159">
        <v>2</v>
      </c>
      <c r="M159" s="3">
        <v>46027</v>
      </c>
      <c r="N159" s="3">
        <v>46031</v>
      </c>
      <c r="O159" t="s">
        <v>82</v>
      </c>
    </row>
    <row r="160" spans="1:15" x14ac:dyDescent="0.3">
      <c r="A160" t="s">
        <v>230</v>
      </c>
      <c r="B160" t="s">
        <v>231</v>
      </c>
      <c r="C160" t="s">
        <v>6</v>
      </c>
      <c r="D160" t="s">
        <v>31</v>
      </c>
      <c r="E160" t="s">
        <v>232</v>
      </c>
      <c r="F160" t="s">
        <v>233</v>
      </c>
      <c r="G160" t="s">
        <v>234</v>
      </c>
      <c r="H160" t="s">
        <v>88</v>
      </c>
      <c r="I160" s="30"/>
      <c r="J160" s="31"/>
      <c r="K160">
        <v>87</v>
      </c>
      <c r="L160">
        <v>2</v>
      </c>
      <c r="M160" s="3">
        <v>46027</v>
      </c>
      <c r="N160" s="3">
        <v>46031</v>
      </c>
      <c r="O160" t="s">
        <v>82</v>
      </c>
    </row>
    <row r="161" spans="1:15" x14ac:dyDescent="0.3">
      <c r="A161" t="s">
        <v>230</v>
      </c>
      <c r="B161" t="s">
        <v>231</v>
      </c>
      <c r="C161" t="s">
        <v>6</v>
      </c>
      <c r="D161" t="s">
        <v>30</v>
      </c>
      <c r="E161" t="s">
        <v>232</v>
      </c>
      <c r="F161" t="s">
        <v>233</v>
      </c>
      <c r="G161" t="s">
        <v>234</v>
      </c>
      <c r="H161" t="s">
        <v>88</v>
      </c>
      <c r="I161" s="30"/>
      <c r="J161" s="31"/>
      <c r="K161">
        <v>87</v>
      </c>
      <c r="L161">
        <v>2</v>
      </c>
      <c r="M161" s="3">
        <v>46027</v>
      </c>
      <c r="N161" s="3">
        <v>46031</v>
      </c>
      <c r="O161" t="s">
        <v>82</v>
      </c>
    </row>
    <row r="162" spans="1:15" x14ac:dyDescent="0.3">
      <c r="A162" t="s">
        <v>149</v>
      </c>
      <c r="B162" t="s">
        <v>150</v>
      </c>
      <c r="C162" t="s">
        <v>6</v>
      </c>
      <c r="D162" t="s">
        <v>33</v>
      </c>
      <c r="E162" t="s">
        <v>242</v>
      </c>
      <c r="F162" t="s">
        <v>243</v>
      </c>
      <c r="G162" t="s">
        <v>244</v>
      </c>
      <c r="H162" t="s">
        <v>130</v>
      </c>
      <c r="I162" s="30"/>
      <c r="J162" s="31"/>
      <c r="K162">
        <v>88</v>
      </c>
      <c r="L162"/>
      <c r="M162" s="3"/>
      <c r="N162" s="3"/>
    </row>
    <row r="163" spans="1:15" x14ac:dyDescent="0.3">
      <c r="A163" t="s">
        <v>149</v>
      </c>
      <c r="B163" t="s">
        <v>150</v>
      </c>
      <c r="C163" t="s">
        <v>6</v>
      </c>
      <c r="D163" t="s">
        <v>34</v>
      </c>
      <c r="E163" t="s">
        <v>242</v>
      </c>
      <c r="F163" t="s">
        <v>243</v>
      </c>
      <c r="G163" t="s">
        <v>244</v>
      </c>
      <c r="H163" t="s">
        <v>130</v>
      </c>
      <c r="I163" s="30"/>
      <c r="J163" s="31"/>
      <c r="K163">
        <v>88</v>
      </c>
      <c r="L163"/>
      <c r="M163" s="3"/>
      <c r="N163" s="3"/>
    </row>
    <row r="164" spans="1:15" x14ac:dyDescent="0.3">
      <c r="A164" t="s">
        <v>149</v>
      </c>
      <c r="B164" t="s">
        <v>150</v>
      </c>
      <c r="C164" t="s">
        <v>6</v>
      </c>
      <c r="D164" t="s">
        <v>35</v>
      </c>
      <c r="E164" t="s">
        <v>242</v>
      </c>
      <c r="F164" t="s">
        <v>243</v>
      </c>
      <c r="G164" t="s">
        <v>244</v>
      </c>
      <c r="H164" t="s">
        <v>130</v>
      </c>
      <c r="I164" s="30"/>
      <c r="J164" s="31"/>
      <c r="K164">
        <v>88</v>
      </c>
      <c r="L164"/>
      <c r="M164" s="3"/>
      <c r="N164" s="3"/>
    </row>
    <row r="165" spans="1:15" x14ac:dyDescent="0.3">
      <c r="A165" t="s">
        <v>149</v>
      </c>
      <c r="B165" t="s">
        <v>150</v>
      </c>
      <c r="C165" t="s">
        <v>6</v>
      </c>
      <c r="D165" t="s">
        <v>36</v>
      </c>
      <c r="E165" t="s">
        <v>242</v>
      </c>
      <c r="F165" t="s">
        <v>243</v>
      </c>
      <c r="G165" t="s">
        <v>244</v>
      </c>
      <c r="H165" t="s">
        <v>130</v>
      </c>
      <c r="I165" s="30"/>
      <c r="J165" s="31"/>
      <c r="K165">
        <v>88</v>
      </c>
      <c r="L165"/>
      <c r="M165" s="3"/>
      <c r="N165" s="3"/>
    </row>
    <row r="166" spans="1:15" x14ac:dyDescent="0.3">
      <c r="A166" t="s">
        <v>149</v>
      </c>
      <c r="B166" t="s">
        <v>150</v>
      </c>
      <c r="C166" t="s">
        <v>6</v>
      </c>
      <c r="D166" t="s">
        <v>37</v>
      </c>
      <c r="E166" t="s">
        <v>242</v>
      </c>
      <c r="F166" t="s">
        <v>243</v>
      </c>
      <c r="G166" t="s">
        <v>244</v>
      </c>
      <c r="H166" t="s">
        <v>130</v>
      </c>
      <c r="I166" s="30"/>
      <c r="J166" s="31"/>
      <c r="K166">
        <v>88</v>
      </c>
      <c r="L166"/>
      <c r="M166" s="3"/>
      <c r="N166" s="3"/>
    </row>
    <row r="167" spans="1:15" x14ac:dyDescent="0.3">
      <c r="A167" t="s">
        <v>146</v>
      </c>
      <c r="B167" t="s">
        <v>147</v>
      </c>
      <c r="C167" t="s">
        <v>6</v>
      </c>
      <c r="D167" t="s">
        <v>43</v>
      </c>
      <c r="E167" t="s">
        <v>245</v>
      </c>
      <c r="F167" t="s">
        <v>246</v>
      </c>
      <c r="G167" t="s">
        <v>247</v>
      </c>
      <c r="H167" t="s">
        <v>130</v>
      </c>
      <c r="I167" s="30"/>
      <c r="J167" s="31"/>
      <c r="K167">
        <v>89</v>
      </c>
      <c r="L167"/>
      <c r="M167" s="3"/>
      <c r="N167" s="3"/>
    </row>
    <row r="168" spans="1:15" x14ac:dyDescent="0.3">
      <c r="A168" t="s">
        <v>146</v>
      </c>
      <c r="B168" t="s">
        <v>147</v>
      </c>
      <c r="C168" t="s">
        <v>6</v>
      </c>
      <c r="D168" t="s">
        <v>44</v>
      </c>
      <c r="E168" t="s">
        <v>245</v>
      </c>
      <c r="F168" t="s">
        <v>246</v>
      </c>
      <c r="G168" t="s">
        <v>247</v>
      </c>
      <c r="H168" t="s">
        <v>130</v>
      </c>
      <c r="I168" s="30"/>
      <c r="J168" s="31"/>
      <c r="K168">
        <v>89</v>
      </c>
      <c r="L168"/>
      <c r="M168" s="3"/>
      <c r="N168" s="3"/>
    </row>
    <row r="169" spans="1:15" x14ac:dyDescent="0.3">
      <c r="A169" t="s">
        <v>146</v>
      </c>
      <c r="B169" t="s">
        <v>147</v>
      </c>
      <c r="C169" t="s">
        <v>6</v>
      </c>
      <c r="D169" t="s">
        <v>45</v>
      </c>
      <c r="E169" t="s">
        <v>245</v>
      </c>
      <c r="F169" t="s">
        <v>246</v>
      </c>
      <c r="G169" t="s">
        <v>247</v>
      </c>
      <c r="H169" t="s">
        <v>130</v>
      </c>
      <c r="I169" s="30"/>
      <c r="J169" s="31"/>
      <c r="K169">
        <v>89</v>
      </c>
      <c r="L169"/>
      <c r="M169" s="3"/>
      <c r="N169" s="3"/>
    </row>
    <row r="170" spans="1:15" x14ac:dyDescent="0.3">
      <c r="A170" t="s">
        <v>146</v>
      </c>
      <c r="B170" t="s">
        <v>147</v>
      </c>
      <c r="C170" t="s">
        <v>6</v>
      </c>
      <c r="D170" t="s">
        <v>46</v>
      </c>
      <c r="E170" t="s">
        <v>245</v>
      </c>
      <c r="F170" t="s">
        <v>246</v>
      </c>
      <c r="G170" t="s">
        <v>247</v>
      </c>
      <c r="H170" t="s">
        <v>130</v>
      </c>
      <c r="I170" s="30"/>
      <c r="J170" s="31"/>
      <c r="K170">
        <v>89</v>
      </c>
      <c r="L170"/>
      <c r="M170" s="3"/>
      <c r="N170" s="3"/>
    </row>
    <row r="171" spans="1:15" x14ac:dyDescent="0.3">
      <c r="A171" t="s">
        <v>146</v>
      </c>
      <c r="B171" t="s">
        <v>147</v>
      </c>
      <c r="C171" t="s">
        <v>6</v>
      </c>
      <c r="D171" t="s">
        <v>42</v>
      </c>
      <c r="E171" t="s">
        <v>248</v>
      </c>
      <c r="F171" t="s">
        <v>246</v>
      </c>
      <c r="G171" t="s">
        <v>249</v>
      </c>
      <c r="H171" t="s">
        <v>130</v>
      </c>
      <c r="I171" s="30"/>
      <c r="J171" s="31"/>
      <c r="K171">
        <v>90</v>
      </c>
      <c r="L171"/>
      <c r="M171" s="3"/>
      <c r="N171" s="3"/>
    </row>
    <row r="172" spans="1:15" x14ac:dyDescent="0.3">
      <c r="A172" t="s">
        <v>155</v>
      </c>
      <c r="B172" t="s">
        <v>156</v>
      </c>
      <c r="C172" t="s">
        <v>12</v>
      </c>
      <c r="D172" t="s">
        <v>24</v>
      </c>
      <c r="E172" t="s">
        <v>250</v>
      </c>
      <c r="F172" t="s">
        <v>251</v>
      </c>
      <c r="H172" t="s">
        <v>130</v>
      </c>
      <c r="I172" s="30"/>
      <c r="J172" s="31"/>
      <c r="K172">
        <v>91</v>
      </c>
      <c r="L172"/>
      <c r="M172" s="3"/>
      <c r="N172" s="3"/>
    </row>
    <row r="173" spans="1:15" x14ac:dyDescent="0.3">
      <c r="A173" t="s">
        <v>155</v>
      </c>
      <c r="B173" t="s">
        <v>156</v>
      </c>
      <c r="C173" t="s">
        <v>12</v>
      </c>
      <c r="D173" t="s">
        <v>25</v>
      </c>
      <c r="E173" t="s">
        <v>250</v>
      </c>
      <c r="F173" t="s">
        <v>251</v>
      </c>
      <c r="H173" t="s">
        <v>130</v>
      </c>
      <c r="I173" s="30"/>
      <c r="J173" s="31"/>
      <c r="K173">
        <v>91</v>
      </c>
      <c r="L173"/>
      <c r="M173" s="3"/>
      <c r="N173" s="3"/>
    </row>
    <row r="174" spans="1:15" x14ac:dyDescent="0.3">
      <c r="A174" t="s">
        <v>155</v>
      </c>
      <c r="B174" t="s">
        <v>156</v>
      </c>
      <c r="C174" t="s">
        <v>12</v>
      </c>
      <c r="D174" t="s">
        <v>26</v>
      </c>
      <c r="E174" t="s">
        <v>250</v>
      </c>
      <c r="F174" t="s">
        <v>251</v>
      </c>
      <c r="H174" t="s">
        <v>130</v>
      </c>
      <c r="I174" s="30"/>
      <c r="J174" s="31"/>
      <c r="K174">
        <v>91</v>
      </c>
      <c r="L174"/>
      <c r="M174" s="3"/>
      <c r="N174" s="3"/>
    </row>
    <row r="175" spans="1:15" x14ac:dyDescent="0.3">
      <c r="A175" t="s">
        <v>155</v>
      </c>
      <c r="B175" t="s">
        <v>156</v>
      </c>
      <c r="C175" t="s">
        <v>12</v>
      </c>
      <c r="D175" t="s">
        <v>27</v>
      </c>
      <c r="E175" t="s">
        <v>250</v>
      </c>
      <c r="F175" t="s">
        <v>251</v>
      </c>
      <c r="H175" t="s">
        <v>130</v>
      </c>
      <c r="I175" s="30"/>
      <c r="J175" s="31"/>
      <c r="K175">
        <v>91</v>
      </c>
      <c r="L175"/>
      <c r="M175" s="3"/>
      <c r="N175" s="3"/>
    </row>
    <row r="176" spans="1:15" x14ac:dyDescent="0.3">
      <c r="A176" t="s">
        <v>157</v>
      </c>
      <c r="B176" t="s">
        <v>158</v>
      </c>
      <c r="C176" t="s">
        <v>8</v>
      </c>
      <c r="D176" t="s">
        <v>42</v>
      </c>
      <c r="E176" t="s">
        <v>252</v>
      </c>
      <c r="F176" t="s">
        <v>253</v>
      </c>
      <c r="G176" t="s">
        <v>254</v>
      </c>
      <c r="H176" t="s">
        <v>130</v>
      </c>
      <c r="I176" s="30"/>
      <c r="J176" s="31"/>
      <c r="K176">
        <v>92</v>
      </c>
      <c r="L176"/>
      <c r="M176" s="3"/>
      <c r="N176" s="3"/>
    </row>
    <row r="177" spans="1:14" x14ac:dyDescent="0.3">
      <c r="A177" t="s">
        <v>157</v>
      </c>
      <c r="B177" t="s">
        <v>158</v>
      </c>
      <c r="C177" t="s">
        <v>8</v>
      </c>
      <c r="D177" t="s">
        <v>43</v>
      </c>
      <c r="E177" t="s">
        <v>252</v>
      </c>
      <c r="F177" t="s">
        <v>253</v>
      </c>
      <c r="G177" t="s">
        <v>254</v>
      </c>
      <c r="H177" t="s">
        <v>130</v>
      </c>
      <c r="I177" s="30"/>
      <c r="J177" s="31"/>
      <c r="K177">
        <v>92</v>
      </c>
      <c r="L177"/>
      <c r="M177" s="3"/>
      <c r="N177" s="3"/>
    </row>
    <row r="178" spans="1:14" x14ac:dyDescent="0.3">
      <c r="A178" t="s">
        <v>157</v>
      </c>
      <c r="B178" t="s">
        <v>158</v>
      </c>
      <c r="C178" t="s">
        <v>8</v>
      </c>
      <c r="D178" t="s">
        <v>44</v>
      </c>
      <c r="E178" t="s">
        <v>252</v>
      </c>
      <c r="F178" t="s">
        <v>253</v>
      </c>
      <c r="G178" t="s">
        <v>254</v>
      </c>
      <c r="H178" t="s">
        <v>130</v>
      </c>
      <c r="I178" s="30"/>
      <c r="J178" s="31"/>
      <c r="K178">
        <v>92</v>
      </c>
      <c r="L178"/>
      <c r="M178" s="3"/>
      <c r="N178" s="3"/>
    </row>
    <row r="179" spans="1:14" x14ac:dyDescent="0.3">
      <c r="A179" t="s">
        <v>157</v>
      </c>
      <c r="B179" t="s">
        <v>158</v>
      </c>
      <c r="C179" t="s">
        <v>8</v>
      </c>
      <c r="D179" t="s">
        <v>45</v>
      </c>
      <c r="E179" t="s">
        <v>252</v>
      </c>
      <c r="F179" t="s">
        <v>253</v>
      </c>
      <c r="G179" t="s">
        <v>254</v>
      </c>
      <c r="H179" t="s">
        <v>130</v>
      </c>
      <c r="I179" s="30"/>
      <c r="J179" s="31"/>
      <c r="K179">
        <v>92</v>
      </c>
      <c r="L179"/>
      <c r="M179" s="3"/>
      <c r="N179" s="3"/>
    </row>
    <row r="180" spans="1:14" x14ac:dyDescent="0.3">
      <c r="A180" t="s">
        <v>157</v>
      </c>
      <c r="B180" t="s">
        <v>158</v>
      </c>
      <c r="C180" t="s">
        <v>8</v>
      </c>
      <c r="D180" t="s">
        <v>46</v>
      </c>
      <c r="E180" t="s">
        <v>252</v>
      </c>
      <c r="F180" t="s">
        <v>253</v>
      </c>
      <c r="G180" t="s">
        <v>254</v>
      </c>
      <c r="H180" t="s">
        <v>130</v>
      </c>
      <c r="I180" s="30"/>
      <c r="J180" s="31"/>
      <c r="K180">
        <v>92</v>
      </c>
      <c r="L180"/>
      <c r="M180" s="3"/>
      <c r="N180" s="3"/>
    </row>
    <row r="181" spans="1:14" x14ac:dyDescent="0.3">
      <c r="A181" t="s">
        <v>157</v>
      </c>
      <c r="B181" t="s">
        <v>158</v>
      </c>
      <c r="C181" t="s">
        <v>8</v>
      </c>
      <c r="D181" t="s">
        <v>33</v>
      </c>
      <c r="E181" t="s">
        <v>255</v>
      </c>
      <c r="F181" t="s">
        <v>256</v>
      </c>
      <c r="G181" t="s">
        <v>257</v>
      </c>
      <c r="H181" t="s">
        <v>130</v>
      </c>
      <c r="I181" s="30"/>
      <c r="J181" s="31"/>
      <c r="K181">
        <v>93</v>
      </c>
      <c r="L181"/>
      <c r="M181" s="3"/>
      <c r="N181" s="3"/>
    </row>
    <row r="182" spans="1:14" x14ac:dyDescent="0.3">
      <c r="A182" t="s">
        <v>157</v>
      </c>
      <c r="B182" t="s">
        <v>158</v>
      </c>
      <c r="C182" t="s">
        <v>8</v>
      </c>
      <c r="D182" t="s">
        <v>34</v>
      </c>
      <c r="E182" t="s">
        <v>255</v>
      </c>
      <c r="F182" t="s">
        <v>256</v>
      </c>
      <c r="G182" t="s">
        <v>257</v>
      </c>
      <c r="H182" t="s">
        <v>130</v>
      </c>
      <c r="I182" s="30"/>
      <c r="J182" s="31"/>
      <c r="K182">
        <v>93</v>
      </c>
      <c r="L182"/>
      <c r="M182" s="3"/>
      <c r="N182" s="3"/>
    </row>
    <row r="183" spans="1:14" x14ac:dyDescent="0.3">
      <c r="A183" t="s">
        <v>157</v>
      </c>
      <c r="B183" t="s">
        <v>158</v>
      </c>
      <c r="C183" t="s">
        <v>8</v>
      </c>
      <c r="D183" t="s">
        <v>35</v>
      </c>
      <c r="E183" t="s">
        <v>255</v>
      </c>
      <c r="F183" t="s">
        <v>256</v>
      </c>
      <c r="G183" t="s">
        <v>257</v>
      </c>
      <c r="H183" t="s">
        <v>130</v>
      </c>
      <c r="I183" s="30"/>
      <c r="J183" s="31"/>
      <c r="K183">
        <v>93</v>
      </c>
      <c r="L183"/>
      <c r="M183" s="3"/>
      <c r="N183" s="3"/>
    </row>
    <row r="184" spans="1:14" x14ac:dyDescent="0.3">
      <c r="A184" t="s">
        <v>157</v>
      </c>
      <c r="B184" t="s">
        <v>158</v>
      </c>
      <c r="C184" t="s">
        <v>8</v>
      </c>
      <c r="D184" t="s">
        <v>36</v>
      </c>
      <c r="E184" t="s">
        <v>255</v>
      </c>
      <c r="F184" t="s">
        <v>256</v>
      </c>
      <c r="G184" t="s">
        <v>257</v>
      </c>
      <c r="H184" t="s">
        <v>130</v>
      </c>
      <c r="I184" s="30"/>
      <c r="J184" s="31"/>
      <c r="K184">
        <v>93</v>
      </c>
      <c r="L184"/>
      <c r="M184" s="3"/>
      <c r="N184" s="3"/>
    </row>
    <row r="185" spans="1:14" x14ac:dyDescent="0.3">
      <c r="A185" t="s">
        <v>157</v>
      </c>
      <c r="B185" t="s">
        <v>158</v>
      </c>
      <c r="C185" t="s">
        <v>8</v>
      </c>
      <c r="D185" t="s">
        <v>37</v>
      </c>
      <c r="E185" t="s">
        <v>255</v>
      </c>
      <c r="F185" t="s">
        <v>256</v>
      </c>
      <c r="G185" t="s">
        <v>257</v>
      </c>
      <c r="H185" t="s">
        <v>130</v>
      </c>
      <c r="I185" s="30"/>
      <c r="J185" s="31"/>
      <c r="K185">
        <v>93</v>
      </c>
      <c r="L185"/>
      <c r="M185" s="3"/>
      <c r="N185" s="3"/>
    </row>
    <row r="186" spans="1:14" x14ac:dyDescent="0.3">
      <c r="A186" t="s">
        <v>157</v>
      </c>
      <c r="B186" t="s">
        <v>158</v>
      </c>
      <c r="C186" t="s">
        <v>8</v>
      </c>
      <c r="D186" t="s">
        <v>47</v>
      </c>
      <c r="E186" t="s">
        <v>258</v>
      </c>
      <c r="F186" t="s">
        <v>259</v>
      </c>
      <c r="G186" t="s">
        <v>260</v>
      </c>
      <c r="H186" t="s">
        <v>130</v>
      </c>
      <c r="I186" s="30"/>
      <c r="J186" s="31"/>
      <c r="K186">
        <v>94</v>
      </c>
      <c r="L186"/>
      <c r="M186" s="3"/>
      <c r="N186" s="3"/>
    </row>
    <row r="187" spans="1:14" x14ac:dyDescent="0.3">
      <c r="A187" t="s">
        <v>157</v>
      </c>
      <c r="B187" t="s">
        <v>158</v>
      </c>
      <c r="C187" t="s">
        <v>8</v>
      </c>
      <c r="D187" t="s">
        <v>48</v>
      </c>
      <c r="E187" t="s">
        <v>258</v>
      </c>
      <c r="F187" t="s">
        <v>259</v>
      </c>
      <c r="G187" t="s">
        <v>260</v>
      </c>
      <c r="H187" t="s">
        <v>130</v>
      </c>
      <c r="I187" s="30"/>
      <c r="J187" s="31"/>
      <c r="K187">
        <v>94</v>
      </c>
      <c r="L187"/>
      <c r="M187" s="3"/>
      <c r="N187" s="3"/>
    </row>
    <row r="188" spans="1:14" x14ac:dyDescent="0.3">
      <c r="A188" t="s">
        <v>157</v>
      </c>
      <c r="B188" t="s">
        <v>158</v>
      </c>
      <c r="C188" t="s">
        <v>8</v>
      </c>
      <c r="D188" t="s">
        <v>49</v>
      </c>
      <c r="E188" t="s">
        <v>258</v>
      </c>
      <c r="F188" t="s">
        <v>259</v>
      </c>
      <c r="G188" t="s">
        <v>260</v>
      </c>
      <c r="H188" t="s">
        <v>130</v>
      </c>
      <c r="I188" s="30"/>
      <c r="J188" s="31"/>
      <c r="K188">
        <v>94</v>
      </c>
      <c r="L188"/>
      <c r="M188" s="3"/>
      <c r="N188" s="3"/>
    </row>
    <row r="189" spans="1:14" x14ac:dyDescent="0.3">
      <c r="A189" t="s">
        <v>157</v>
      </c>
      <c r="B189" t="s">
        <v>158</v>
      </c>
      <c r="C189" t="s">
        <v>8</v>
      </c>
      <c r="D189" t="s">
        <v>50</v>
      </c>
      <c r="E189" t="s">
        <v>258</v>
      </c>
      <c r="F189" t="s">
        <v>259</v>
      </c>
      <c r="G189" t="s">
        <v>260</v>
      </c>
      <c r="H189" t="s">
        <v>130</v>
      </c>
      <c r="I189" s="30"/>
      <c r="J189" s="31"/>
      <c r="K189">
        <v>94</v>
      </c>
      <c r="L189"/>
      <c r="M189" s="3"/>
      <c r="N189" s="3"/>
    </row>
    <row r="190" spans="1:14" x14ac:dyDescent="0.3">
      <c r="A190" t="s">
        <v>157</v>
      </c>
      <c r="B190" t="s">
        <v>158</v>
      </c>
      <c r="C190" t="s">
        <v>8</v>
      </c>
      <c r="D190" t="s">
        <v>51</v>
      </c>
      <c r="E190" t="s">
        <v>258</v>
      </c>
      <c r="F190" t="s">
        <v>259</v>
      </c>
      <c r="G190" t="s">
        <v>260</v>
      </c>
      <c r="H190" t="s">
        <v>130</v>
      </c>
      <c r="I190" s="30"/>
      <c r="J190" s="31"/>
      <c r="K190">
        <v>94</v>
      </c>
      <c r="L190"/>
      <c r="M190" s="3"/>
      <c r="N190" s="3"/>
    </row>
    <row r="191" spans="1:14" x14ac:dyDescent="0.3">
      <c r="A191" t="s">
        <v>185</v>
      </c>
      <c r="B191" t="s">
        <v>186</v>
      </c>
      <c r="C191" t="s">
        <v>7</v>
      </c>
      <c r="D191" t="s">
        <v>28</v>
      </c>
      <c r="E191" t="s">
        <v>261</v>
      </c>
      <c r="F191" t="s">
        <v>262</v>
      </c>
      <c r="H191" t="s">
        <v>130</v>
      </c>
      <c r="I191" s="30"/>
      <c r="J191" s="31"/>
      <c r="K191">
        <v>95</v>
      </c>
      <c r="L191"/>
      <c r="M191" s="3"/>
      <c r="N191" s="3"/>
    </row>
    <row r="192" spans="1:14" x14ac:dyDescent="0.3">
      <c r="A192" t="s">
        <v>185</v>
      </c>
      <c r="B192" t="s">
        <v>186</v>
      </c>
      <c r="C192" t="s">
        <v>7</v>
      </c>
      <c r="D192" t="s">
        <v>29</v>
      </c>
      <c r="E192" t="s">
        <v>261</v>
      </c>
      <c r="F192" t="s">
        <v>262</v>
      </c>
      <c r="H192" t="s">
        <v>130</v>
      </c>
      <c r="I192" s="30"/>
      <c r="J192" s="31"/>
      <c r="K192">
        <v>95</v>
      </c>
      <c r="L192"/>
      <c r="M192" s="3"/>
      <c r="N192" s="3"/>
    </row>
    <row r="193" spans="1:14" x14ac:dyDescent="0.3">
      <c r="A193" t="s">
        <v>185</v>
      </c>
      <c r="B193" t="s">
        <v>186</v>
      </c>
      <c r="C193" t="s">
        <v>7</v>
      </c>
      <c r="D193" t="s">
        <v>31</v>
      </c>
      <c r="E193" t="s">
        <v>261</v>
      </c>
      <c r="F193" t="s">
        <v>262</v>
      </c>
      <c r="H193" t="s">
        <v>130</v>
      </c>
      <c r="I193" s="30"/>
      <c r="J193" s="31"/>
      <c r="K193">
        <v>95</v>
      </c>
      <c r="L193"/>
      <c r="M193" s="3"/>
      <c r="N193" s="3"/>
    </row>
    <row r="194" spans="1:14" x14ac:dyDescent="0.3">
      <c r="A194" t="s">
        <v>185</v>
      </c>
      <c r="B194" t="s">
        <v>186</v>
      </c>
      <c r="C194" t="s">
        <v>7</v>
      </c>
      <c r="D194" t="s">
        <v>30</v>
      </c>
      <c r="E194" t="s">
        <v>261</v>
      </c>
      <c r="F194" t="s">
        <v>262</v>
      </c>
      <c r="H194" t="s">
        <v>130</v>
      </c>
      <c r="I194" s="30"/>
      <c r="J194" s="31"/>
      <c r="K194">
        <v>95</v>
      </c>
      <c r="L194"/>
      <c r="M194" s="3"/>
      <c r="N194" s="3"/>
    </row>
    <row r="195" spans="1:14" x14ac:dyDescent="0.3">
      <c r="A195" t="s">
        <v>185</v>
      </c>
      <c r="B195" t="s">
        <v>186</v>
      </c>
      <c r="C195" t="s">
        <v>7</v>
      </c>
      <c r="D195" t="s">
        <v>38</v>
      </c>
      <c r="E195" t="s">
        <v>263</v>
      </c>
      <c r="F195" t="s">
        <v>262</v>
      </c>
      <c r="G195" t="s">
        <v>264</v>
      </c>
      <c r="H195" t="s">
        <v>130</v>
      </c>
      <c r="I195" s="30"/>
      <c r="J195" s="31"/>
      <c r="K195">
        <v>96</v>
      </c>
      <c r="L195"/>
      <c r="M195" s="3"/>
      <c r="N195" s="3"/>
    </row>
    <row r="196" spans="1:14" x14ac:dyDescent="0.3">
      <c r="A196" t="s">
        <v>185</v>
      </c>
      <c r="B196" t="s">
        <v>186</v>
      </c>
      <c r="C196" t="s">
        <v>7</v>
      </c>
      <c r="D196" t="s">
        <v>39</v>
      </c>
      <c r="E196" t="s">
        <v>263</v>
      </c>
      <c r="F196" t="s">
        <v>262</v>
      </c>
      <c r="G196" t="s">
        <v>264</v>
      </c>
      <c r="H196" t="s">
        <v>130</v>
      </c>
      <c r="I196" s="30"/>
      <c r="J196" s="31"/>
      <c r="K196">
        <v>96</v>
      </c>
      <c r="L196"/>
      <c r="M196" s="3"/>
      <c r="N196" s="3"/>
    </row>
    <row r="197" spans="1:14" x14ac:dyDescent="0.3">
      <c r="A197" t="s">
        <v>185</v>
      </c>
      <c r="B197" t="s">
        <v>186</v>
      </c>
      <c r="C197" t="s">
        <v>7</v>
      </c>
      <c r="D197" t="s">
        <v>40</v>
      </c>
      <c r="E197" t="s">
        <v>263</v>
      </c>
      <c r="F197" t="s">
        <v>262</v>
      </c>
      <c r="G197" t="s">
        <v>264</v>
      </c>
      <c r="H197" t="s">
        <v>130</v>
      </c>
      <c r="I197" s="30"/>
      <c r="J197" s="31"/>
      <c r="K197">
        <v>96</v>
      </c>
      <c r="L197"/>
      <c r="M197" s="3"/>
      <c r="N197" s="3"/>
    </row>
    <row r="198" spans="1:14" x14ac:dyDescent="0.3">
      <c r="A198" t="s">
        <v>185</v>
      </c>
      <c r="B198" t="s">
        <v>186</v>
      </c>
      <c r="C198" t="s">
        <v>7</v>
      </c>
      <c r="D198" t="s">
        <v>41</v>
      </c>
      <c r="E198" t="s">
        <v>263</v>
      </c>
      <c r="F198" t="s">
        <v>262</v>
      </c>
      <c r="G198" t="s">
        <v>264</v>
      </c>
      <c r="H198" t="s">
        <v>130</v>
      </c>
      <c r="I198" s="30"/>
      <c r="J198" s="31"/>
      <c r="K198">
        <v>96</v>
      </c>
      <c r="L198"/>
      <c r="M198" s="3"/>
      <c r="N198" s="3"/>
    </row>
    <row r="199" spans="1:14" x14ac:dyDescent="0.3">
      <c r="A199" t="s">
        <v>185</v>
      </c>
      <c r="B199" t="s">
        <v>186</v>
      </c>
      <c r="C199" t="s">
        <v>7</v>
      </c>
      <c r="D199" t="s">
        <v>42</v>
      </c>
      <c r="E199" t="s">
        <v>265</v>
      </c>
      <c r="F199" t="s">
        <v>262</v>
      </c>
      <c r="H199" t="s">
        <v>130</v>
      </c>
      <c r="I199" s="30"/>
      <c r="J199" s="31"/>
      <c r="K199">
        <v>97</v>
      </c>
      <c r="L199"/>
      <c r="M199" s="3"/>
      <c r="N199" s="3"/>
    </row>
    <row r="200" spans="1:14" x14ac:dyDescent="0.3">
      <c r="A200" t="s">
        <v>185</v>
      </c>
      <c r="B200" t="s">
        <v>186</v>
      </c>
      <c r="C200" t="s">
        <v>7</v>
      </c>
      <c r="D200" t="s">
        <v>43</v>
      </c>
      <c r="E200" t="s">
        <v>265</v>
      </c>
      <c r="F200" t="s">
        <v>262</v>
      </c>
      <c r="H200" t="s">
        <v>130</v>
      </c>
      <c r="I200" s="30"/>
      <c r="J200" s="31"/>
      <c r="K200">
        <v>97</v>
      </c>
      <c r="L200"/>
      <c r="M200" s="3"/>
      <c r="N200" s="3"/>
    </row>
    <row r="201" spans="1:14" x14ac:dyDescent="0.3">
      <c r="A201" t="s">
        <v>185</v>
      </c>
      <c r="B201" t="s">
        <v>186</v>
      </c>
      <c r="C201" t="s">
        <v>7</v>
      </c>
      <c r="D201" t="s">
        <v>44</v>
      </c>
      <c r="E201" t="s">
        <v>265</v>
      </c>
      <c r="F201" t="s">
        <v>262</v>
      </c>
      <c r="H201" t="s">
        <v>130</v>
      </c>
      <c r="I201" s="30"/>
      <c r="J201" s="31"/>
      <c r="K201">
        <v>97</v>
      </c>
      <c r="L201"/>
      <c r="M201" s="3"/>
      <c r="N201" s="3"/>
    </row>
    <row r="202" spans="1:14" x14ac:dyDescent="0.3">
      <c r="A202" t="s">
        <v>185</v>
      </c>
      <c r="B202" t="s">
        <v>186</v>
      </c>
      <c r="C202" t="s">
        <v>7</v>
      </c>
      <c r="D202" t="s">
        <v>45</v>
      </c>
      <c r="E202" t="s">
        <v>265</v>
      </c>
      <c r="F202" t="s">
        <v>262</v>
      </c>
      <c r="H202" t="s">
        <v>130</v>
      </c>
      <c r="I202" s="30"/>
      <c r="J202" s="31"/>
      <c r="K202">
        <v>97</v>
      </c>
      <c r="L202"/>
      <c r="M202" s="3"/>
      <c r="N202" s="3"/>
    </row>
    <row r="203" spans="1:14" x14ac:dyDescent="0.3">
      <c r="A203" t="s">
        <v>185</v>
      </c>
      <c r="B203" t="s">
        <v>186</v>
      </c>
      <c r="C203" t="s">
        <v>7</v>
      </c>
      <c r="D203" t="s">
        <v>46</v>
      </c>
      <c r="E203" t="s">
        <v>265</v>
      </c>
      <c r="F203" t="s">
        <v>262</v>
      </c>
      <c r="H203" t="s">
        <v>130</v>
      </c>
      <c r="I203" s="30"/>
      <c r="J203" s="31"/>
      <c r="K203">
        <v>97</v>
      </c>
      <c r="L203"/>
      <c r="M203" s="3"/>
      <c r="N203" s="3"/>
    </row>
    <row r="204" spans="1:14" x14ac:dyDescent="0.3">
      <c r="A204" t="s">
        <v>185</v>
      </c>
      <c r="B204" t="s">
        <v>186</v>
      </c>
      <c r="C204" t="s">
        <v>7</v>
      </c>
      <c r="D204" t="s">
        <v>33</v>
      </c>
      <c r="E204" t="s">
        <v>266</v>
      </c>
      <c r="F204" t="s">
        <v>262</v>
      </c>
      <c r="H204" t="s">
        <v>130</v>
      </c>
      <c r="I204" s="30"/>
      <c r="J204" s="31"/>
      <c r="K204">
        <v>98</v>
      </c>
      <c r="L204"/>
      <c r="M204" s="3"/>
      <c r="N204" s="3"/>
    </row>
    <row r="205" spans="1:14" x14ac:dyDescent="0.3">
      <c r="A205" t="s">
        <v>185</v>
      </c>
      <c r="B205" t="s">
        <v>186</v>
      </c>
      <c r="C205" t="s">
        <v>7</v>
      </c>
      <c r="D205" t="s">
        <v>34</v>
      </c>
      <c r="E205" t="s">
        <v>266</v>
      </c>
      <c r="F205" t="s">
        <v>262</v>
      </c>
      <c r="H205" t="s">
        <v>130</v>
      </c>
      <c r="I205" s="30"/>
      <c r="J205" s="31"/>
      <c r="K205">
        <v>98</v>
      </c>
      <c r="L205"/>
      <c r="M205" s="3"/>
      <c r="N205" s="3"/>
    </row>
    <row r="206" spans="1:14" x14ac:dyDescent="0.3">
      <c r="A206" t="s">
        <v>185</v>
      </c>
      <c r="B206" t="s">
        <v>186</v>
      </c>
      <c r="C206" t="s">
        <v>7</v>
      </c>
      <c r="D206" t="s">
        <v>35</v>
      </c>
      <c r="E206" t="s">
        <v>266</v>
      </c>
      <c r="F206" t="s">
        <v>262</v>
      </c>
      <c r="H206" t="s">
        <v>130</v>
      </c>
      <c r="I206" s="30"/>
      <c r="J206" s="31"/>
      <c r="K206">
        <v>98</v>
      </c>
      <c r="L206"/>
      <c r="M206" s="3"/>
      <c r="N206" s="3"/>
    </row>
    <row r="207" spans="1:14" x14ac:dyDescent="0.3">
      <c r="A207" t="s">
        <v>185</v>
      </c>
      <c r="B207" t="s">
        <v>186</v>
      </c>
      <c r="C207" t="s">
        <v>7</v>
      </c>
      <c r="D207" t="s">
        <v>36</v>
      </c>
      <c r="E207" t="s">
        <v>266</v>
      </c>
      <c r="F207" t="s">
        <v>262</v>
      </c>
      <c r="H207" t="s">
        <v>130</v>
      </c>
      <c r="I207" s="30"/>
      <c r="J207" s="31"/>
      <c r="K207">
        <v>98</v>
      </c>
      <c r="L207"/>
      <c r="M207" s="3"/>
      <c r="N207" s="3"/>
    </row>
    <row r="208" spans="1:14" x14ac:dyDescent="0.3">
      <c r="A208" t="s">
        <v>185</v>
      </c>
      <c r="B208" t="s">
        <v>186</v>
      </c>
      <c r="C208" t="s">
        <v>7</v>
      </c>
      <c r="D208" t="s">
        <v>37</v>
      </c>
      <c r="E208" t="s">
        <v>266</v>
      </c>
      <c r="F208" t="s">
        <v>262</v>
      </c>
      <c r="H208" t="s">
        <v>130</v>
      </c>
      <c r="I208" s="30"/>
      <c r="J208" s="31"/>
      <c r="K208">
        <v>98</v>
      </c>
      <c r="L208"/>
      <c r="M208" s="3"/>
      <c r="N208" s="3"/>
    </row>
    <row r="209" spans="1:14" x14ac:dyDescent="0.3">
      <c r="A209" t="s">
        <v>267</v>
      </c>
      <c r="B209" t="s">
        <v>268</v>
      </c>
      <c r="C209" t="s">
        <v>15</v>
      </c>
      <c r="D209" t="s">
        <v>24</v>
      </c>
      <c r="E209" t="s">
        <v>269</v>
      </c>
      <c r="F209" t="s">
        <v>269</v>
      </c>
      <c r="G209" t="s">
        <v>269</v>
      </c>
      <c r="H209" t="s">
        <v>130</v>
      </c>
      <c r="I209" s="30"/>
      <c r="J209" s="31"/>
      <c r="K209">
        <v>99</v>
      </c>
      <c r="L209"/>
      <c r="M209" s="3"/>
      <c r="N209" s="3"/>
    </row>
    <row r="210" spans="1:14" x14ac:dyDescent="0.3">
      <c r="A210" t="s">
        <v>230</v>
      </c>
      <c r="B210" t="s">
        <v>231</v>
      </c>
      <c r="C210" t="s">
        <v>6</v>
      </c>
      <c r="D210" t="s">
        <v>28</v>
      </c>
      <c r="E210" t="s">
        <v>270</v>
      </c>
      <c r="F210" t="s">
        <v>271</v>
      </c>
      <c r="G210" t="s">
        <v>272</v>
      </c>
      <c r="H210" t="s">
        <v>130</v>
      </c>
      <c r="I210" s="30"/>
      <c r="J210" s="31"/>
      <c r="K210">
        <v>100</v>
      </c>
      <c r="L210"/>
      <c r="M210" s="3"/>
      <c r="N210" s="3"/>
    </row>
    <row r="211" spans="1:14" x14ac:dyDescent="0.3">
      <c r="A211" t="s">
        <v>230</v>
      </c>
      <c r="B211" t="s">
        <v>231</v>
      </c>
      <c r="C211" t="s">
        <v>6</v>
      </c>
      <c r="D211" t="s">
        <v>29</v>
      </c>
      <c r="E211" t="s">
        <v>270</v>
      </c>
      <c r="F211" t="s">
        <v>271</v>
      </c>
      <c r="G211" t="s">
        <v>272</v>
      </c>
      <c r="H211" t="s">
        <v>130</v>
      </c>
      <c r="I211" s="30"/>
      <c r="J211" s="31"/>
      <c r="K211">
        <v>100</v>
      </c>
      <c r="L211"/>
      <c r="M211" s="3"/>
      <c r="N211" s="3"/>
    </row>
    <row r="212" spans="1:14" x14ac:dyDescent="0.3">
      <c r="A212" t="s">
        <v>230</v>
      </c>
      <c r="B212" t="s">
        <v>231</v>
      </c>
      <c r="C212" t="s">
        <v>6</v>
      </c>
      <c r="D212" t="s">
        <v>31</v>
      </c>
      <c r="E212" t="s">
        <v>270</v>
      </c>
      <c r="F212" t="s">
        <v>271</v>
      </c>
      <c r="G212" t="s">
        <v>272</v>
      </c>
      <c r="H212" t="s">
        <v>130</v>
      </c>
      <c r="I212" s="30"/>
      <c r="J212" s="31"/>
      <c r="K212">
        <v>100</v>
      </c>
      <c r="L212"/>
      <c r="M212" s="3"/>
      <c r="N212" s="3"/>
    </row>
    <row r="213" spans="1:14" x14ac:dyDescent="0.3">
      <c r="A213" t="s">
        <v>230</v>
      </c>
      <c r="B213" t="s">
        <v>231</v>
      </c>
      <c r="C213" t="s">
        <v>6</v>
      </c>
      <c r="D213" t="s">
        <v>30</v>
      </c>
      <c r="E213" t="s">
        <v>270</v>
      </c>
      <c r="F213" t="s">
        <v>271</v>
      </c>
      <c r="G213" t="s">
        <v>272</v>
      </c>
      <c r="H213" t="s">
        <v>130</v>
      </c>
      <c r="I213" s="30"/>
      <c r="J213" s="31"/>
      <c r="K213">
        <v>100</v>
      </c>
      <c r="L213"/>
      <c r="M213" s="3"/>
      <c r="N213" s="3"/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F2-5A0A-4171-A8A2-8B44028DEFEC}">
  <sheetPr codeName="Planilha4"/>
  <dimension ref="A1:K92"/>
  <sheetViews>
    <sheetView zoomScale="85" zoomScaleNormal="85" workbookViewId="0">
      <selection activeCell="E36" sqref="E36"/>
    </sheetView>
  </sheetViews>
  <sheetFormatPr defaultRowHeight="14.4" x14ac:dyDescent="0.3"/>
  <cols>
    <col min="1" max="1" width="17.77734375" bestFit="1" customWidth="1"/>
    <col min="3" max="3" width="22.77734375" bestFit="1" customWidth="1"/>
    <col min="5" max="5" width="26.77734375" bestFit="1" customWidth="1"/>
    <col min="7" max="7" width="17.21875" customWidth="1"/>
    <col min="8" max="8" width="23.77734375" bestFit="1" customWidth="1"/>
    <col min="10" max="10" width="13.77734375" bestFit="1" customWidth="1"/>
    <col min="11" max="11" width="75.21875" bestFit="1" customWidth="1"/>
  </cols>
  <sheetData>
    <row r="1" spans="1:11" x14ac:dyDescent="0.3">
      <c r="A1" t="s">
        <v>72</v>
      </c>
      <c r="C1" t="s">
        <v>71</v>
      </c>
      <c r="G1" t="s">
        <v>72</v>
      </c>
      <c r="H1" t="s">
        <v>71</v>
      </c>
      <c r="J1" t="s">
        <v>64</v>
      </c>
      <c r="K1" t="s">
        <v>80</v>
      </c>
    </row>
    <row r="2" spans="1:11" x14ac:dyDescent="0.3">
      <c r="A2" t="str" cm="1">
        <f t="array" ref="A2:A28">_xlfn._xlws.SORT(_xlfn.UNIQUE(Resumo[Turma:]))</f>
        <v>1º ano A - EM</v>
      </c>
      <c r="C2" t="str" cm="1">
        <f t="array" ref="C2:C10">_xlfn._xlws.SORT(_xlfn.UNIQUE(Resumo[TextoSemana]))</f>
        <v>Semana 1 - 29/dez a 02/jan</v>
      </c>
      <c r="E2" t="s">
        <v>0</v>
      </c>
      <c r="G2" t="str">
        <f>padrao!A2</f>
        <v>1º ano A - EM</v>
      </c>
      <c r="H2" t="str">
        <f>padrao!C2</f>
        <v>Semana 1 - 29/dez a 02/jan</v>
      </c>
      <c r="J2" t="s">
        <v>81</v>
      </c>
      <c r="K2" t="s">
        <v>240</v>
      </c>
    </row>
    <row r="3" spans="1:11" x14ac:dyDescent="0.3">
      <c r="A3" t="str">
        <v>1º ano B - EM</v>
      </c>
      <c r="C3" t="str">
        <v>Semana 12 - 16/mar a 20/mar</v>
      </c>
      <c r="E3" s="4" t="s">
        <v>15</v>
      </c>
      <c r="G3" t="str">
        <f>padrao!A3</f>
        <v>1º ano B - EM</v>
      </c>
      <c r="H3" t="str">
        <f>padrao!C3</f>
        <v>Semana 12 - 16/mar a 20/mar</v>
      </c>
    </row>
    <row r="4" spans="1:11" x14ac:dyDescent="0.3">
      <c r="A4" t="str">
        <v>1º ano C - EM</v>
      </c>
      <c r="C4" t="str">
        <v>Semana 13 - 23/mar a 27/mar</v>
      </c>
      <c r="E4" s="4" t="s">
        <v>6</v>
      </c>
      <c r="G4" t="str">
        <f>padrao!A4</f>
        <v>1º ano C - EM</v>
      </c>
      <c r="H4" t="str">
        <f>padrao!C4</f>
        <v>Semana 13 - 23/mar a 27/mar</v>
      </c>
    </row>
    <row r="5" spans="1:11" x14ac:dyDescent="0.3">
      <c r="A5" t="str">
        <v>1º ano D - EM</v>
      </c>
      <c r="C5" t="str">
        <v>Semana 2 - 05/jan a 09/jan</v>
      </c>
      <c r="E5" s="4" t="s">
        <v>7</v>
      </c>
      <c r="G5" t="str">
        <f>padrao!A5</f>
        <v>1º ano D - EM</v>
      </c>
      <c r="H5" t="str">
        <f>padrao!C5</f>
        <v>Semana 2 - 05/jan a 09/jan</v>
      </c>
    </row>
    <row r="6" spans="1:11" x14ac:dyDescent="0.3">
      <c r="A6" t="str">
        <v>1º ano E - EM</v>
      </c>
      <c r="C6" t="str">
        <v>Semana 3 - 12/jan a 16/jan</v>
      </c>
      <c r="E6" s="4" t="s">
        <v>8</v>
      </c>
      <c r="G6" t="str">
        <f>padrao!A6</f>
        <v>1º ano E - EM</v>
      </c>
      <c r="H6" t="str">
        <f>padrao!C6</f>
        <v>Semana 3 - 12/jan a 16/jan</v>
      </c>
    </row>
    <row r="7" spans="1:11" x14ac:dyDescent="0.3">
      <c r="A7" t="str">
        <v>2º ano A - EM</v>
      </c>
      <c r="C7" t="str">
        <v>Semana 4 - 19/jan a 23/jan</v>
      </c>
      <c r="E7" s="4" t="s">
        <v>9</v>
      </c>
      <c r="G7" t="str">
        <f>padrao!A7</f>
        <v>2º ano A - EM</v>
      </c>
      <c r="H7" t="str">
        <f>padrao!C7</f>
        <v>Semana 4 - 19/jan a 23/jan</v>
      </c>
    </row>
    <row r="8" spans="1:11" x14ac:dyDescent="0.3">
      <c r="A8" t="str">
        <v>2º ano B - EM</v>
      </c>
      <c r="C8" t="str">
        <v>Semana 7 - 09/fev a 13/fev</v>
      </c>
      <c r="E8" s="4" t="s">
        <v>10</v>
      </c>
      <c r="G8" t="str">
        <f>padrao!A8</f>
        <v>2º ano B - EM</v>
      </c>
      <c r="H8" t="str">
        <f>padrao!C8</f>
        <v>Semana 7 - 09/fev a 13/fev</v>
      </c>
    </row>
    <row r="9" spans="1:11" x14ac:dyDescent="0.3">
      <c r="A9" t="str">
        <v>2º ano C - EM</v>
      </c>
      <c r="C9" t="str">
        <v>Semana 8 - 16/fev a 20/fev</v>
      </c>
      <c r="E9" s="4" t="s">
        <v>11</v>
      </c>
      <c r="G9" t="str">
        <f>padrao!A9</f>
        <v>2º ano C - EM</v>
      </c>
      <c r="H9" t="str">
        <f>padrao!C9</f>
        <v>Semana 8 - 16/fev a 20/fev</v>
      </c>
    </row>
    <row r="10" spans="1:11" x14ac:dyDescent="0.3">
      <c r="A10" t="str">
        <v>2º ano D - EM</v>
      </c>
      <c r="C10" t="str">
        <v>Semana 9 - 23/fev a 27/fev</v>
      </c>
      <c r="E10" s="4" t="s">
        <v>12</v>
      </c>
      <c r="G10" t="str">
        <f>padrao!A10</f>
        <v>2º ano D - EM</v>
      </c>
      <c r="H10" t="str">
        <f>padrao!C10</f>
        <v>Semana 9 - 23/fev a 27/fev</v>
      </c>
    </row>
    <row r="11" spans="1:11" x14ac:dyDescent="0.3">
      <c r="A11" t="str">
        <v>2º ano E - EM</v>
      </c>
      <c r="E11" s="4" t="s">
        <v>13</v>
      </c>
      <c r="G11" t="str">
        <f>padrao!A11</f>
        <v>2º ano E - EM</v>
      </c>
      <c r="H11">
        <f>padrao!C11</f>
        <v>0</v>
      </c>
    </row>
    <row r="12" spans="1:11" x14ac:dyDescent="0.3">
      <c r="A12" t="str">
        <v>6º ano A</v>
      </c>
      <c r="E12" s="4" t="s">
        <v>14</v>
      </c>
      <c r="G12" t="str">
        <f>padrao!A12</f>
        <v>6º ano A</v>
      </c>
      <c r="H12">
        <f>padrao!C12</f>
        <v>0</v>
      </c>
    </row>
    <row r="13" spans="1:11" x14ac:dyDescent="0.3">
      <c r="A13" t="str">
        <v>6º ano B</v>
      </c>
      <c r="E13" s="4" t="s">
        <v>65</v>
      </c>
      <c r="G13" t="str">
        <f>padrao!A13</f>
        <v>6º ano B</v>
      </c>
      <c r="H13">
        <f>padrao!C13</f>
        <v>0</v>
      </c>
    </row>
    <row r="14" spans="1:11" x14ac:dyDescent="0.3">
      <c r="A14" t="str">
        <v>6º ano C</v>
      </c>
      <c r="E14" s="4" t="s">
        <v>66</v>
      </c>
      <c r="G14" t="str">
        <f>padrao!A14</f>
        <v>6º ano C</v>
      </c>
      <c r="H14">
        <f>padrao!C14</f>
        <v>0</v>
      </c>
    </row>
    <row r="15" spans="1:11" x14ac:dyDescent="0.3">
      <c r="A15" t="str">
        <v>6º ano D</v>
      </c>
      <c r="E15" s="4" t="s">
        <v>67</v>
      </c>
      <c r="G15" t="str">
        <f>padrao!A15</f>
        <v>6º ano D</v>
      </c>
      <c r="H15">
        <f>padrao!C15</f>
        <v>0</v>
      </c>
    </row>
    <row r="16" spans="1:11" x14ac:dyDescent="0.3">
      <c r="A16" t="str">
        <v>7º ano A</v>
      </c>
      <c r="E16" s="4" t="s">
        <v>68</v>
      </c>
      <c r="G16" t="str">
        <f>padrao!A16</f>
        <v>7º ano A</v>
      </c>
      <c r="H16">
        <f>padrao!C16</f>
        <v>0</v>
      </c>
    </row>
    <row r="17" spans="1:8" x14ac:dyDescent="0.3">
      <c r="A17" t="str">
        <v>7º ano B</v>
      </c>
      <c r="E17" s="4" t="s">
        <v>69</v>
      </c>
      <c r="G17" t="str">
        <f>padrao!A17</f>
        <v>7º ano B</v>
      </c>
      <c r="H17">
        <f>padrao!C17</f>
        <v>0</v>
      </c>
    </row>
    <row r="18" spans="1:8" x14ac:dyDescent="0.3">
      <c r="A18" t="str">
        <v>7º ano C</v>
      </c>
      <c r="E18" s="4" t="s">
        <v>32</v>
      </c>
      <c r="G18" t="str">
        <f>padrao!A18</f>
        <v>7º ano C</v>
      </c>
      <c r="H18">
        <f>padrao!C18</f>
        <v>0</v>
      </c>
    </row>
    <row r="19" spans="1:8" x14ac:dyDescent="0.3">
      <c r="A19" t="str">
        <v>7º ano D</v>
      </c>
      <c r="E19" s="4" t="s">
        <v>70</v>
      </c>
      <c r="G19" t="str">
        <f>padrao!A19</f>
        <v>7º ano D</v>
      </c>
      <c r="H19">
        <f>padrao!C19</f>
        <v>0</v>
      </c>
    </row>
    <row r="20" spans="1:8" x14ac:dyDescent="0.3">
      <c r="A20" t="str">
        <v>8º ano A</v>
      </c>
      <c r="G20" t="str">
        <f>padrao!A20</f>
        <v>8º ano A</v>
      </c>
      <c r="H20">
        <f>padrao!C20</f>
        <v>0</v>
      </c>
    </row>
    <row r="21" spans="1:8" x14ac:dyDescent="0.3">
      <c r="A21" t="str">
        <v>8º ano B</v>
      </c>
      <c r="G21" t="str">
        <f>padrao!A21</f>
        <v>8º ano B</v>
      </c>
      <c r="H21">
        <f>padrao!C21</f>
        <v>0</v>
      </c>
    </row>
    <row r="22" spans="1:8" x14ac:dyDescent="0.3">
      <c r="A22" t="str">
        <v>8º ano C</v>
      </c>
      <c r="E22" t="s">
        <v>0</v>
      </c>
      <c r="G22" t="str">
        <f>padrao!A22</f>
        <v>8º ano C</v>
      </c>
      <c r="H22">
        <f>padrao!C22</f>
        <v>0</v>
      </c>
    </row>
    <row r="23" spans="1:8" x14ac:dyDescent="0.3">
      <c r="A23" t="str">
        <v>8º ano D</v>
      </c>
      <c r="E23" s="4" t="s">
        <v>15</v>
      </c>
      <c r="G23" t="str">
        <f>padrao!A23</f>
        <v>8º ano D</v>
      </c>
      <c r="H23">
        <f>padrao!C23</f>
        <v>0</v>
      </c>
    </row>
    <row r="24" spans="1:8" x14ac:dyDescent="0.3">
      <c r="A24" t="str">
        <v>9º ano A</v>
      </c>
      <c r="E24" s="4" t="s">
        <v>6</v>
      </c>
      <c r="G24" t="str">
        <f>padrao!A24</f>
        <v>9º ano A</v>
      </c>
      <c r="H24">
        <f>padrao!C24</f>
        <v>0</v>
      </c>
    </row>
    <row r="25" spans="1:8" x14ac:dyDescent="0.3">
      <c r="A25" t="str">
        <v>9º ano B</v>
      </c>
      <c r="E25" s="4" t="s">
        <v>7</v>
      </c>
      <c r="G25" t="str">
        <f>padrao!A25</f>
        <v>9º ano B</v>
      </c>
      <c r="H25">
        <f>padrao!C25</f>
        <v>0</v>
      </c>
    </row>
    <row r="26" spans="1:8" x14ac:dyDescent="0.3">
      <c r="A26" t="str">
        <v>9º ano C</v>
      </c>
      <c r="E26" s="4" t="s">
        <v>8</v>
      </c>
      <c r="G26" t="str">
        <f>padrao!A26</f>
        <v>9º ano C</v>
      </c>
      <c r="H26">
        <f>padrao!C26</f>
        <v>0</v>
      </c>
    </row>
    <row r="27" spans="1:8" x14ac:dyDescent="0.3">
      <c r="A27" t="str">
        <v>9º ano D</v>
      </c>
      <c r="E27" s="4" t="s">
        <v>9</v>
      </c>
      <c r="G27" t="str">
        <f>padrao!A27</f>
        <v>9º ano D</v>
      </c>
      <c r="H27">
        <f>padrao!C27</f>
        <v>0</v>
      </c>
    </row>
    <row r="28" spans="1:8" x14ac:dyDescent="0.3">
      <c r="A28" t="str">
        <v>9º ano E</v>
      </c>
      <c r="E28" s="4" t="s">
        <v>10</v>
      </c>
      <c r="G28" t="str">
        <f>padrao!A28</f>
        <v>9º ano E</v>
      </c>
      <c r="H28">
        <f>padrao!C28</f>
        <v>0</v>
      </c>
    </row>
    <row r="29" spans="1:8" x14ac:dyDescent="0.3">
      <c r="E29" s="4" t="s">
        <v>11</v>
      </c>
      <c r="G29">
        <f>padrao!A29</f>
        <v>0</v>
      </c>
      <c r="H29">
        <f>padrao!C29</f>
        <v>0</v>
      </c>
    </row>
    <row r="30" spans="1:8" x14ac:dyDescent="0.3">
      <c r="E30" s="4" t="s">
        <v>12</v>
      </c>
      <c r="G30">
        <f>padrao!A30</f>
        <v>0</v>
      </c>
      <c r="H30">
        <f>padrao!C30</f>
        <v>0</v>
      </c>
    </row>
    <row r="31" spans="1:8" x14ac:dyDescent="0.3">
      <c r="E31" s="4" t="s">
        <v>13</v>
      </c>
      <c r="G31">
        <f>padrao!A31</f>
        <v>0</v>
      </c>
      <c r="H31">
        <f>padrao!C31</f>
        <v>0</v>
      </c>
    </row>
    <row r="32" spans="1:8" x14ac:dyDescent="0.3">
      <c r="E32" s="4" t="s">
        <v>14</v>
      </c>
      <c r="G32">
        <f>padrao!A32</f>
        <v>0</v>
      </c>
      <c r="H32">
        <f>padrao!C32</f>
        <v>0</v>
      </c>
    </row>
    <row r="33" spans="5:8" x14ac:dyDescent="0.3">
      <c r="E33" s="4"/>
      <c r="G33">
        <f>padrao!A33</f>
        <v>0</v>
      </c>
      <c r="H33">
        <f>padrao!C33</f>
        <v>0</v>
      </c>
    </row>
    <row r="34" spans="5:8" x14ac:dyDescent="0.3">
      <c r="E34" s="4"/>
      <c r="H34">
        <f>padrao!C34</f>
        <v>0</v>
      </c>
    </row>
    <row r="35" spans="5:8" x14ac:dyDescent="0.3">
      <c r="E35" t="s">
        <v>73</v>
      </c>
      <c r="H35">
        <f>padrao!C35</f>
        <v>0</v>
      </c>
    </row>
    <row r="36" spans="5:8" x14ac:dyDescent="0.3">
      <c r="E36" s="4" t="s">
        <v>15</v>
      </c>
      <c r="H36">
        <f>padrao!C36</f>
        <v>0</v>
      </c>
    </row>
    <row r="37" spans="5:8" x14ac:dyDescent="0.3">
      <c r="E37" s="4" t="s">
        <v>6</v>
      </c>
      <c r="H37">
        <f>padrao!C37</f>
        <v>0</v>
      </c>
    </row>
    <row r="38" spans="5:8" x14ac:dyDescent="0.3">
      <c r="E38" s="4" t="s">
        <v>7</v>
      </c>
      <c r="H38">
        <f>padrao!C38</f>
        <v>0</v>
      </c>
    </row>
    <row r="39" spans="5:8" x14ac:dyDescent="0.3">
      <c r="E39" s="4" t="s">
        <v>8</v>
      </c>
      <c r="H39">
        <f>padrao!C39</f>
        <v>0</v>
      </c>
    </row>
    <row r="40" spans="5:8" x14ac:dyDescent="0.3">
      <c r="E40" s="4" t="s">
        <v>9</v>
      </c>
      <c r="H40">
        <f>padrao!C40</f>
        <v>0</v>
      </c>
    </row>
    <row r="41" spans="5:8" x14ac:dyDescent="0.3">
      <c r="E41" s="4" t="s">
        <v>10</v>
      </c>
      <c r="H41">
        <f>padrao!C41</f>
        <v>0</v>
      </c>
    </row>
    <row r="42" spans="5:8" x14ac:dyDescent="0.3">
      <c r="E42" s="4" t="s">
        <v>11</v>
      </c>
      <c r="H42">
        <f>padrao!C42</f>
        <v>0</v>
      </c>
    </row>
    <row r="43" spans="5:8" x14ac:dyDescent="0.3">
      <c r="E43" s="4" t="s">
        <v>12</v>
      </c>
      <c r="H43">
        <f>padrao!C43</f>
        <v>0</v>
      </c>
    </row>
    <row r="44" spans="5:8" x14ac:dyDescent="0.3">
      <c r="E44" s="4" t="s">
        <v>65</v>
      </c>
      <c r="H44">
        <f>padrao!C44</f>
        <v>0</v>
      </c>
    </row>
    <row r="45" spans="5:8" x14ac:dyDescent="0.3">
      <c r="E45" s="4" t="s">
        <v>66</v>
      </c>
      <c r="H45">
        <f>padrao!C45</f>
        <v>0</v>
      </c>
    </row>
    <row r="46" spans="5:8" x14ac:dyDescent="0.3">
      <c r="E46" s="4" t="s">
        <v>67</v>
      </c>
      <c r="H46">
        <f>padrao!C46</f>
        <v>0</v>
      </c>
    </row>
    <row r="47" spans="5:8" x14ac:dyDescent="0.3">
      <c r="E47" s="4" t="s">
        <v>68</v>
      </c>
      <c r="H47">
        <f>padrao!C47</f>
        <v>0</v>
      </c>
    </row>
    <row r="48" spans="5:8" x14ac:dyDescent="0.3">
      <c r="E48" s="4" t="s">
        <v>69</v>
      </c>
      <c r="H48">
        <f>padrao!C48</f>
        <v>0</v>
      </c>
    </row>
    <row r="49" spans="5:8" x14ac:dyDescent="0.3">
      <c r="E49" s="4" t="s">
        <v>32</v>
      </c>
      <c r="H49">
        <f>padrao!C49</f>
        <v>0</v>
      </c>
    </row>
    <row r="50" spans="5:8" x14ac:dyDescent="0.3">
      <c r="E50" s="4" t="s">
        <v>70</v>
      </c>
      <c r="H50">
        <f>padrao!C50</f>
        <v>0</v>
      </c>
    </row>
    <row r="51" spans="5:8" x14ac:dyDescent="0.3">
      <c r="E51" s="4"/>
      <c r="H51">
        <f>padrao!C51</f>
        <v>0</v>
      </c>
    </row>
    <row r="52" spans="5:8" x14ac:dyDescent="0.3">
      <c r="E52" s="4"/>
      <c r="H52">
        <f>padrao!C52</f>
        <v>0</v>
      </c>
    </row>
    <row r="53" spans="5:8" x14ac:dyDescent="0.3">
      <c r="H53">
        <f>padrao!C53</f>
        <v>0</v>
      </c>
    </row>
    <row r="54" spans="5:8" x14ac:dyDescent="0.3">
      <c r="E54" t="s">
        <v>0</v>
      </c>
    </row>
    <row r="55" spans="5:8" x14ac:dyDescent="0.3">
      <c r="E55" s="4" t="s">
        <v>6</v>
      </c>
    </row>
    <row r="56" spans="5:8" x14ac:dyDescent="0.3">
      <c r="E56" s="4" t="s">
        <v>7</v>
      </c>
    </row>
    <row r="57" spans="5:8" x14ac:dyDescent="0.3">
      <c r="E57" s="4" t="s">
        <v>8</v>
      </c>
    </row>
    <row r="58" spans="5:8" x14ac:dyDescent="0.3">
      <c r="E58" s="4" t="s">
        <v>9</v>
      </c>
    </row>
    <row r="59" spans="5:8" x14ac:dyDescent="0.3">
      <c r="E59" s="4" t="s">
        <v>10</v>
      </c>
    </row>
    <row r="60" spans="5:8" x14ac:dyDescent="0.3">
      <c r="E60" s="4" t="s">
        <v>11</v>
      </c>
      <c r="G60" t="s">
        <v>75</v>
      </c>
      <c r="H60" t="s">
        <v>76</v>
      </c>
    </row>
    <row r="61" spans="5:8" x14ac:dyDescent="0.3">
      <c r="E61" s="4" t="s">
        <v>12</v>
      </c>
      <c r="G61" t="s">
        <v>24</v>
      </c>
      <c r="H61" t="s">
        <v>77</v>
      </c>
    </row>
    <row r="62" spans="5:8" x14ac:dyDescent="0.3">
      <c r="E62" s="4" t="s">
        <v>65</v>
      </c>
      <c r="G62" t="s">
        <v>25</v>
      </c>
      <c r="H62" t="s">
        <v>77</v>
      </c>
    </row>
    <row r="63" spans="5:8" x14ac:dyDescent="0.3">
      <c r="E63" s="4" t="s">
        <v>66</v>
      </c>
      <c r="G63" t="s">
        <v>26</v>
      </c>
      <c r="H63" t="s">
        <v>77</v>
      </c>
    </row>
    <row r="64" spans="5:8" x14ac:dyDescent="0.3">
      <c r="E64" s="4" t="s">
        <v>67</v>
      </c>
      <c r="G64" t="s">
        <v>27</v>
      </c>
      <c r="H64" t="s">
        <v>77</v>
      </c>
    </row>
    <row r="65" spans="5:8" x14ac:dyDescent="0.3">
      <c r="E65" s="4" t="s">
        <v>68</v>
      </c>
      <c r="G65" t="s">
        <v>28</v>
      </c>
      <c r="H65" t="s">
        <v>77</v>
      </c>
    </row>
    <row r="66" spans="5:8" x14ac:dyDescent="0.3">
      <c r="E66" s="4" t="s">
        <v>69</v>
      </c>
      <c r="G66" t="s">
        <v>29</v>
      </c>
      <c r="H66" t="s">
        <v>77</v>
      </c>
    </row>
    <row r="67" spans="5:8" x14ac:dyDescent="0.3">
      <c r="E67" s="4"/>
      <c r="G67" t="s">
        <v>31</v>
      </c>
      <c r="H67" t="s">
        <v>77</v>
      </c>
    </row>
    <row r="68" spans="5:8" x14ac:dyDescent="0.3">
      <c r="E68" s="4"/>
      <c r="G68" t="s">
        <v>30</v>
      </c>
      <c r="H68" t="s">
        <v>77</v>
      </c>
    </row>
    <row r="69" spans="5:8" x14ac:dyDescent="0.3">
      <c r="E69" s="4"/>
      <c r="G69" t="s">
        <v>38</v>
      </c>
      <c r="H69" t="s">
        <v>77</v>
      </c>
    </row>
    <row r="70" spans="5:8" x14ac:dyDescent="0.3">
      <c r="E70" s="4"/>
      <c r="G70" t="s">
        <v>39</v>
      </c>
      <c r="H70" t="s">
        <v>77</v>
      </c>
    </row>
    <row r="71" spans="5:8" x14ac:dyDescent="0.3">
      <c r="E71" s="4"/>
      <c r="G71" t="s">
        <v>40</v>
      </c>
      <c r="H71" t="s">
        <v>77</v>
      </c>
    </row>
    <row r="72" spans="5:8" x14ac:dyDescent="0.3">
      <c r="G72" t="s">
        <v>41</v>
      </c>
      <c r="H72" t="s">
        <v>77</v>
      </c>
    </row>
    <row r="73" spans="5:8" x14ac:dyDescent="0.3">
      <c r="E73" t="s">
        <v>0</v>
      </c>
      <c r="G73" t="s">
        <v>42</v>
      </c>
      <c r="H73" t="s">
        <v>77</v>
      </c>
    </row>
    <row r="74" spans="5:8" x14ac:dyDescent="0.3">
      <c r="E74" s="4" t="s">
        <v>6</v>
      </c>
      <c r="G74" t="s">
        <v>43</v>
      </c>
      <c r="H74" t="s">
        <v>77</v>
      </c>
    </row>
    <row r="75" spans="5:8" x14ac:dyDescent="0.3">
      <c r="E75" s="4" t="s">
        <v>7</v>
      </c>
      <c r="G75" t="s">
        <v>44</v>
      </c>
      <c r="H75" t="s">
        <v>77</v>
      </c>
    </row>
    <row r="76" spans="5:8" x14ac:dyDescent="0.3">
      <c r="E76" s="4" t="s">
        <v>10</v>
      </c>
      <c r="G76" t="s">
        <v>45</v>
      </c>
      <c r="H76" t="s">
        <v>77</v>
      </c>
    </row>
    <row r="77" spans="5:8" x14ac:dyDescent="0.3">
      <c r="E77" s="4" t="s">
        <v>11</v>
      </c>
      <c r="G77" t="s">
        <v>46</v>
      </c>
      <c r="H77" t="s">
        <v>77</v>
      </c>
    </row>
    <row r="78" spans="5:8" x14ac:dyDescent="0.3">
      <c r="E78" s="4" t="s">
        <v>12</v>
      </c>
      <c r="G78" t="s">
        <v>33</v>
      </c>
      <c r="H78" t="s">
        <v>78</v>
      </c>
    </row>
    <row r="79" spans="5:8" x14ac:dyDescent="0.3">
      <c r="E79" s="4" t="s">
        <v>65</v>
      </c>
      <c r="G79" t="s">
        <v>34</v>
      </c>
      <c r="H79" t="s">
        <v>78</v>
      </c>
    </row>
    <row r="80" spans="5:8" x14ac:dyDescent="0.3">
      <c r="E80" s="4" t="s">
        <v>66</v>
      </c>
      <c r="G80" t="s">
        <v>35</v>
      </c>
      <c r="H80" t="s">
        <v>78</v>
      </c>
    </row>
    <row r="81" spans="5:8" x14ac:dyDescent="0.3">
      <c r="E81" s="4" t="s">
        <v>67</v>
      </c>
      <c r="G81" t="s">
        <v>36</v>
      </c>
      <c r="H81" t="s">
        <v>78</v>
      </c>
    </row>
    <row r="82" spans="5:8" x14ac:dyDescent="0.3">
      <c r="E82" s="4"/>
      <c r="G82" t="s">
        <v>37</v>
      </c>
      <c r="H82" t="s">
        <v>78</v>
      </c>
    </row>
    <row r="83" spans="5:8" x14ac:dyDescent="0.3">
      <c r="E83" s="4"/>
      <c r="G83" t="s">
        <v>47</v>
      </c>
      <c r="H83" t="s">
        <v>74</v>
      </c>
    </row>
    <row r="84" spans="5:8" x14ac:dyDescent="0.3">
      <c r="E84" s="4"/>
      <c r="G84" t="s">
        <v>48</v>
      </c>
      <c r="H84" t="s">
        <v>74</v>
      </c>
    </row>
    <row r="85" spans="5:8" x14ac:dyDescent="0.3">
      <c r="E85" s="4"/>
      <c r="G85" t="s">
        <v>49</v>
      </c>
      <c r="H85" t="s">
        <v>74</v>
      </c>
    </row>
    <row r="86" spans="5:8" x14ac:dyDescent="0.3">
      <c r="E86" s="4"/>
      <c r="G86" t="s">
        <v>50</v>
      </c>
      <c r="H86" t="s">
        <v>74</v>
      </c>
    </row>
    <row r="87" spans="5:8" x14ac:dyDescent="0.3">
      <c r="E87" s="4"/>
      <c r="G87" t="s">
        <v>51</v>
      </c>
      <c r="H87" t="s">
        <v>74</v>
      </c>
    </row>
    <row r="88" spans="5:8" x14ac:dyDescent="0.3">
      <c r="E88" s="4"/>
      <c r="G88" t="s">
        <v>52</v>
      </c>
      <c r="H88" t="s">
        <v>79</v>
      </c>
    </row>
    <row r="89" spans="5:8" x14ac:dyDescent="0.3">
      <c r="E89" s="4"/>
      <c r="G89" t="s">
        <v>53</v>
      </c>
      <c r="H89" t="s">
        <v>79</v>
      </c>
    </row>
    <row r="90" spans="5:8" x14ac:dyDescent="0.3">
      <c r="E90" s="4"/>
      <c r="G90" t="s">
        <v>54</v>
      </c>
      <c r="H90" t="s">
        <v>79</v>
      </c>
    </row>
    <row r="91" spans="5:8" x14ac:dyDescent="0.3">
      <c r="G91" t="s">
        <v>55</v>
      </c>
      <c r="H91" t="s">
        <v>79</v>
      </c>
    </row>
    <row r="92" spans="5:8" x14ac:dyDescent="0.3">
      <c r="G92" t="s">
        <v>56</v>
      </c>
      <c r="H92" t="s">
        <v>79</v>
      </c>
    </row>
  </sheetData>
  <pageMargins left="0.511811024" right="0.511811024" top="0.78740157499999996" bottom="0.78740157499999996" header="0.31496062000000002" footer="0.31496062000000002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rmino xmlns="ddb61399-3db0-4cf3-b594-9ebb66c3c7ac" xsi:nil="true"/>
    <Turma xmlns="ddb61399-3db0-4cf3-b594-9ebb66c3c7ac">6 ano A</Turma>
    <Inicio_x0020_ xmlns="ddb61399-3db0-4cf3-b594-9ebb66c3c7ac">2026-03-05T03:00:00+00:00</Inicio_x0020_>
    <Professor xmlns="ddb61399-3db0-4cf3-b594-9ebb66c3c7ac">
      <UserInfo xmlns="ddb61399-3db0-4cf3-b594-9ebb66c3c7ac">
        <DisplayName xmlns="ddb61399-3db0-4cf3-b594-9ebb66c3c7ac">Breno Malta Silva</DisplayName>
        <AccountId xmlns="ddb61399-3db0-4cf3-b594-9ebb66c3c7ac">4</AccountId>
        <AccountType xmlns="ddb61399-3db0-4cf3-b594-9ebb66c3c7ac"/>
      </UserInfo>
    </Professo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A6C2AD9A0C9D44A3C3F258687BCE4A" ma:contentTypeVersion="7" ma:contentTypeDescription="Crie um novo documento." ma:contentTypeScope="" ma:versionID="79dcfc2b42ef2999bd6a0e807f159b2d">
  <xsd:schema xmlns:xsd="http://www.w3.org/2001/XMLSchema" xmlns:xs="http://www.w3.org/2001/XMLSchema" xmlns:p="http://schemas.microsoft.com/office/2006/metadata/properties" xmlns:ns2="ddb61399-3db0-4cf3-b594-9ebb66c3c7ac" targetNamespace="http://schemas.microsoft.com/office/2006/metadata/properties" ma:root="true" ma:fieldsID="fa491a3c108730d2fe645d2e3cefa690" ns2:_="">
    <xsd:import namespace="ddb61399-3db0-4cf3-b594-9ebb66c3c7ac"/>
    <xsd:element name="properties">
      <xsd:complexType>
        <xsd:sequence>
          <xsd:element name="documentManagement">
            <xsd:complexType>
              <xsd:all>
                <xsd:element ref="ns2:Professor"/>
                <xsd:element ref="ns2:Turma"/>
                <xsd:element ref="ns2:Inicio_x0020_"/>
                <xsd:element ref="ns2:Termino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b61399-3db0-4cf3-b594-9ebb66c3c7ac" elementFormDefault="qualified">
    <xsd:import namespace="http://schemas.microsoft.com/office/2006/documentManagement/types"/>
    <xsd:import namespace="http://schemas.microsoft.com/office/infopath/2007/PartnerControls"/>
    <xsd:element name="Professor" ma:index="8" ma:displayName="Professor" ma:list="UserInfo" ma:SharePointGroup="0" ma:internalName="Professo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urma" ma:index="9" ma:displayName="Turma" ma:format="Dropdown" ma:internalName="Turma">
      <xsd:simpleType>
        <xsd:restriction base="dms:Choice">
          <xsd:enumeration value="6 ano A"/>
          <xsd:enumeration value="6 ano B"/>
          <xsd:enumeration value="Escolha 3"/>
        </xsd:restriction>
      </xsd:simpleType>
    </xsd:element>
    <xsd:element name="Inicio_x0020_" ma:index="10" ma:displayName="Inicio " ma:format="DateOnly" ma:internalName="Inicio_x0020_">
      <xsd:simpleType>
        <xsd:restriction base="dms:DateTime"/>
      </xsd:simpleType>
    </xsd:element>
    <xsd:element name="Termino" ma:index="11" nillable="true" ma:displayName="Termino" ma:format="DateTime" ma:internalName="Termino">
      <xsd:simpleType>
        <xsd:restriction base="dms:DateTim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6EA6B41-7114-4090-AC3A-59B689EC8CDB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ddb61399-3db0-4cf3-b594-9ebb66c3c7ac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820887B-D82E-4477-8309-1D7F1468C0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398503-4653-4D73-9DBB-CC8196BD5B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b61399-3db0-4cf3-b594-9ebb66c3c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3E3875E-139E-49F0-BC6F-7AA6B8149E3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148a6de-0dd1-4d04-a4c5-78e374e4f6d6}" enabled="0" method="" siteId="{4148a6de-0dd1-4d04-a4c5-78e374e4f6d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Modelo</vt:lpstr>
      <vt:lpstr>Resumo</vt:lpstr>
      <vt:lpstr>Semanário 2026</vt:lpstr>
      <vt:lpstr>padrao</vt:lpstr>
      <vt:lpstr>Modelo!Area_de_impressao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Malta Silva</dc:creator>
  <cp:lastModifiedBy>Breno Malta Silva</cp:lastModifiedBy>
  <cp:lastPrinted>2026-03-31T20:07:19Z</cp:lastPrinted>
  <dcterms:created xsi:type="dcterms:W3CDTF">2026-03-03T13:05:04Z</dcterms:created>
  <dcterms:modified xsi:type="dcterms:W3CDTF">2026-04-01T19:55:43Z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0x01010053A6C2AD9A0C9D44A3C3F258687BCE4A</vt:lpwstr>
  </property>
</Properties>
</file>