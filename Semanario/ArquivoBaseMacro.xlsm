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https://sesisenaisp-my.sharepoint.com/personal/breno_silva_sesisp_org_br/Documents/Área de Trabalho/Semanario/"/>
    </mc:Choice>
  </mc:AlternateContent>
  <xr:revisionPtr revIDLastSave="4613" documentId="8_{CA1623B8-0F20-4771-BD8F-D603823138DB}" xr6:coauthVersionLast="47" xr6:coauthVersionMax="47" xr10:uidLastSave="{386A4C85-F4E8-477C-9D7F-988C30B4D9BD}"/>
  <bookViews>
    <workbookView xWindow="-120" yWindow="-16320" windowWidth="29040" windowHeight="16440" activeTab="2" xr2:uid="{F5CFD9A5-9EA5-4393-90E6-DCCD272CD06E}"/>
  </bookViews>
  <sheets>
    <sheet name="Modelo" sheetId="1" r:id="rId1"/>
    <sheet name="Resumo" sheetId="4" r:id="rId2"/>
    <sheet name="Semanário 2026" sheetId="3" r:id="rId3"/>
    <sheet name="padrao" sheetId="2" r:id="rId4"/>
  </sheets>
  <functionGroups builtInGroupCount="19"/>
  <definedNames>
    <definedName name="_xleta.T" hidden="1" xlm="1">#NAME?</definedName>
    <definedName name="_xlnm.Print_Area" localSheetId="0">Modelo!$A$1:$D$13</definedName>
    <definedName name="DadosExternos_1" localSheetId="2" hidden="1">'Semanário 2026'!$A$1:$M$5</definedName>
    <definedName name="DadosExternos_2" localSheetId="1" hidden="1">'Resumo'!$A$1:$J$5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2" i="4" l="1"/>
  <c r="I3" i="4"/>
  <c r="I4" i="4"/>
  <c r="I5" i="4"/>
  <c r="C19" i="1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H32" i="2"/>
  <c r="H33" i="2"/>
  <c r="H34" i="2"/>
  <c r="H35" i="2"/>
  <c r="H36" i="2"/>
  <c r="H37" i="2"/>
  <c r="H38" i="2"/>
  <c r="H39" i="2"/>
  <c r="H40" i="2"/>
  <c r="H41" i="2"/>
  <c r="H42" i="2"/>
  <c r="H43" i="2"/>
  <c r="H44" i="2"/>
  <c r="H45" i="2"/>
  <c r="H46" i="2"/>
  <c r="H47" i="2"/>
  <c r="H48" i="2"/>
  <c r="H49" i="2"/>
  <c r="H50" i="2"/>
  <c r="H51" i="2"/>
  <c r="H52" i="2"/>
  <c r="H53" i="2"/>
  <c r="A2" i="2" a="1"/>
  <c r="C2" i="2" a="1"/>
  <c r="B2" i="1"/>
  <c r="A2" i="1"/>
  <c r="C5" i="1" l="1"/>
  <c r="B5" i="1"/>
  <c r="D12" i="1"/>
  <c r="C7" i="1"/>
  <c r="C9" i="1"/>
  <c r="C11" i="1"/>
  <c r="B4" i="1"/>
  <c r="B6" i="1"/>
  <c r="B8" i="1"/>
  <c r="B10" i="1"/>
  <c r="B7" i="1"/>
  <c r="C4" i="1"/>
  <c r="C6" i="1"/>
  <c r="C8" i="1"/>
  <c r="C10" i="1"/>
  <c r="C13" i="1"/>
  <c r="D13" i="1"/>
  <c r="C12" i="1"/>
  <c r="B9" i="1"/>
  <c r="D7" i="1"/>
  <c r="D11" i="1"/>
  <c r="D9" i="1"/>
  <c r="D8" i="1"/>
  <c r="D10" i="1"/>
  <c r="B11" i="1"/>
  <c r="B12" i="1"/>
  <c r="D6" i="1"/>
  <c r="D4" i="1"/>
  <c r="D5" i="1"/>
  <c r="B13" i="1"/>
  <c r="B17" i="1"/>
  <c r="C16" i="1"/>
  <c r="D15" i="1"/>
  <c r="B16" i="1"/>
  <c r="C15" i="1"/>
  <c r="D18" i="1"/>
  <c r="D14" i="1"/>
  <c r="B15" i="1"/>
  <c r="C18" i="1"/>
  <c r="C14" i="1"/>
  <c r="D17" i="1"/>
  <c r="B18" i="1"/>
  <c r="B14" i="1"/>
  <c r="C17" i="1"/>
  <c r="D16" i="1"/>
  <c r="D19" i="1"/>
  <c r="D20" i="1"/>
  <c r="D21" i="1"/>
  <c r="B20" i="1"/>
  <c r="B21" i="1"/>
  <c r="C20" i="1"/>
  <c r="C21" i="1"/>
  <c r="B19" i="1"/>
  <c r="H9" i="2"/>
  <c r="H10" i="2"/>
  <c r="H7" i="2"/>
  <c r="H8" i="2"/>
  <c r="G16" i="2"/>
  <c r="G30" i="2"/>
  <c r="G31" i="2"/>
  <c r="G32" i="2"/>
  <c r="G3" i="2"/>
  <c r="G4" i="2"/>
  <c r="G5" i="2"/>
  <c r="G6" i="2"/>
  <c r="G7" i="2"/>
  <c r="G8" i="2"/>
  <c r="G9" i="2"/>
  <c r="G10" i="2"/>
  <c r="G11" i="2"/>
  <c r="G12" i="2"/>
  <c r="G13" i="2"/>
  <c r="G14" i="2"/>
  <c r="G15" i="2"/>
  <c r="G33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H4" i="2"/>
  <c r="H5" i="2"/>
  <c r="H6" i="2"/>
  <c r="H3" i="2"/>
  <c r="A2" i="2"/>
  <c r="G2" i="2" s="1"/>
  <c r="C2" i="2"/>
  <c r="H2" i="2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1FA0BE2-4C88-4E10-B33D-74BAB971C2C4}" keepAlive="1" interval="1" name="Consulta - Resumo" description="Conexão com a consulta 'Resumo' na pasta de trabalho." type="5" refreshedVersion="8" background="1" refreshOnLoad="1" saveData="1">
    <dbPr connection="Provider=Microsoft.Mashup.OleDb.1;Data Source=$Workbook$;Location=Resumo;Extended Properties=&quot;&quot;" command="SELECT * FROM [Resumo]"/>
  </connection>
  <connection id="2" xr16:uid="{38E23537-A069-4A16-94BE-BB5ABC2C88BD}" keepAlive="1" interval="1" name="Consulta - Semanário 2026" description="Conexão com a consulta 'Semanário 2026' na pasta de trabalho." type="5" refreshedVersion="8" background="1" refreshOnLoad="1" saveData="1">
    <dbPr connection="Provider=Microsoft.Mashup.OleDb.1;Data Source=$Workbook$;Location=&quot;Semanário 2026&quot;;Extended Properties=&quot;&quot;" command="SELECT * FROM [Semanário 2026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<sst xmlns="http://schemas.openxmlformats.org/spreadsheetml/2006/main" count="332" uniqueCount="95">
  <si>
    <t>Disciplinas</t>
  </si>
  <si>
    <t>Atividades em Sala de aula</t>
  </si>
  <si>
    <t>Tarefas para Casa</t>
  </si>
  <si>
    <t>Atividade Avaliativa</t>
  </si>
  <si>
    <t xml:space="preserve"> </t>
  </si>
  <si>
    <t>Disciplina:</t>
  </si>
  <si>
    <t>Língua Portuguesa</t>
  </si>
  <si>
    <t>Língua Inglesa</t>
  </si>
  <si>
    <t>Arte</t>
  </si>
  <si>
    <t>Educação Física</t>
  </si>
  <si>
    <t>História</t>
  </si>
  <si>
    <t>Geografia</t>
  </si>
  <si>
    <t>Matemática</t>
  </si>
  <si>
    <t>Ciências da Natureza</t>
  </si>
  <si>
    <t>STEAM</t>
  </si>
  <si>
    <t>Programação e Robótica</t>
  </si>
  <si>
    <t>Criado por.title</t>
  </si>
  <si>
    <t>Professor:</t>
  </si>
  <si>
    <t>Turma:</t>
  </si>
  <si>
    <t>Atividade em sala:</t>
  </si>
  <si>
    <t>Tarefa para casa:</t>
  </si>
  <si>
    <t>Atividade avaliativa:</t>
  </si>
  <si>
    <t>Selecione a Semana</t>
  </si>
  <si>
    <t>ID</t>
  </si>
  <si>
    <t>6º ano A</t>
  </si>
  <si>
    <t>6º ano B</t>
  </si>
  <si>
    <t>6º ano C</t>
  </si>
  <si>
    <t>6º ano D</t>
  </si>
  <si>
    <t>7º ano A</t>
  </si>
  <si>
    <t>7º ano B</t>
  </si>
  <si>
    <t>7º ano D</t>
  </si>
  <si>
    <t>7º ano C</t>
  </si>
  <si>
    <t>Trilha de Produção Textual</t>
  </si>
  <si>
    <t>1º ano A - EM</t>
  </si>
  <si>
    <t>1º ano B - EM</t>
  </si>
  <si>
    <t>1º ano C - EM</t>
  </si>
  <si>
    <t>1º ano D - EM</t>
  </si>
  <si>
    <t>1º ano E - EM</t>
  </si>
  <si>
    <t>8º ano A</t>
  </si>
  <si>
    <t>8º ano B</t>
  </si>
  <si>
    <t>8º ano C</t>
  </si>
  <si>
    <t>8º ano D</t>
  </si>
  <si>
    <t>9º ano A</t>
  </si>
  <si>
    <t>9º ano B</t>
  </si>
  <si>
    <t>9º ano C</t>
  </si>
  <si>
    <t>9º ano D</t>
  </si>
  <si>
    <t>9º ano E</t>
  </si>
  <si>
    <t>2º ano A - EM</t>
  </si>
  <si>
    <t>2º ano B - EM</t>
  </si>
  <si>
    <t>2º ano C - EM</t>
  </si>
  <si>
    <t>2º ano D - EM</t>
  </si>
  <si>
    <t>2º ano E - EM</t>
  </si>
  <si>
    <t>3º ano A - EM</t>
  </si>
  <si>
    <t>3º ano B - EM</t>
  </si>
  <si>
    <t>3º ano C - EM</t>
  </si>
  <si>
    <t>3º ano D - EM</t>
  </si>
  <si>
    <t>3º ano E - EM</t>
  </si>
  <si>
    <t>NumeroSemana</t>
  </si>
  <si>
    <t>InicioSemana</t>
  </si>
  <si>
    <t>FimSemana</t>
  </si>
  <si>
    <t>TextoSemana</t>
  </si>
  <si>
    <t>Aula</t>
  </si>
  <si>
    <t>Casa</t>
  </si>
  <si>
    <t>Avaliativa</t>
  </si>
  <si>
    <t>Chave</t>
  </si>
  <si>
    <t>Biologia</t>
  </si>
  <si>
    <t>Química</t>
  </si>
  <si>
    <t>Física</t>
  </si>
  <si>
    <t>Sociologia</t>
  </si>
  <si>
    <t>Filosofia</t>
  </si>
  <si>
    <t>Empreendedorismo</t>
  </si>
  <si>
    <t>Selecionar Semana</t>
  </si>
  <si>
    <t>Selecionar Turma</t>
  </si>
  <si>
    <t xml:space="preserve">Disciplinas </t>
  </si>
  <si>
    <t>tblDisciplinas2EM</t>
  </si>
  <si>
    <t>Turma</t>
  </si>
  <si>
    <t>TabelaDisciplina</t>
  </si>
  <si>
    <t>tblDisciplinasFundII</t>
  </si>
  <si>
    <t>tblDisciplinas1EM</t>
  </si>
  <si>
    <t>tblDisciplinas3EM</t>
  </si>
  <si>
    <t>Valor</t>
  </si>
  <si>
    <t>PastaBasePDFs</t>
  </si>
  <si>
    <t>C:\Users\LIE\OneDrive - SESISENAISP - Corporativo\Área de Trabalho\Semanario</t>
  </si>
  <si>
    <t>Semana 2 - 05/jan a 09/jan</t>
  </si>
  <si>
    <t>Conceito /Características do gênero notícia e reportagem- Desenvolvimento Letrus</t>
  </si>
  <si>
    <t xml:space="preserve">Produção de notícia Letrus/exercícios do livro didático </t>
  </si>
  <si>
    <t>Produção de texto</t>
  </si>
  <si>
    <t>Investigando cap 2; avaliação do capítulo 1</t>
  </si>
  <si>
    <t xml:space="preserve">Estudar para avaliação </t>
  </si>
  <si>
    <t>Prova dissertativa/objetiva do capítulo 1</t>
  </si>
  <si>
    <t>Talita Machiavelli do Carmo</t>
  </si>
  <si>
    <t>Talita Carmo</t>
  </si>
  <si>
    <t>Semana 2</t>
  </si>
  <si>
    <t>Maite de Oliveira Silva Nascimento</t>
  </si>
  <si>
    <t>Maitê Nascimento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</si>
</sst>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24"/>
      <color theme="0"/>
      <name val="Aptos Narrow"/>
      <family val="2"/>
      <scheme val="minor"/>
    </font>
    <font>
      <b/>
      <sz val="22"/>
      <color theme="0"/>
      <name val="Aptos Narrow"/>
      <family val="2"/>
      <scheme val="minor"/>
    </font>
    <font>
      <b/>
      <sz val="11"/>
      <name val="Aptos Narrow"/>
      <family val="2"/>
      <scheme val="minor"/>
    </font>
    <font>
      <sz val="8"/>
      <name val="Aptos Narrow"/>
      <family val="2"/>
      <scheme val="minor"/>
    </font>
    <font>
      <b/>
      <sz val="20"/>
      <color theme="0"/>
      <name val="Aptos Narrow"/>
      <family val="2"/>
      <scheme val="minor"/>
    </font>
    <font>
      <sz val="20"/>
      <color rgb="FF000000"/>
      <name val="Aptos Narrow"/>
      <family val="2"/>
    </font>
    <font>
      <sz val="22"/>
      <color rgb="FF000000"/>
      <name val="Aptos Narrow"/>
      <family val="2"/>
    </font>
    <font>
      <sz val="11"/>
      <color rgb="FF000000"/>
      <name val="Aptos Narrow"/>
      <family val="2"/>
    </font>
    <font>
      <b/>
      <sz val="14"/>
      <name val="Aptos Narrow"/>
      <family val="2"/>
      <scheme val="minor"/>
    </font>
    <font>
      <b/>
      <sz val="18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C0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</fills>
  <borders count="18">
    <border>
      <left/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FF0000"/>
      </left>
      <right style="thin">
        <color rgb="FFFF0000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rgb="FFFF0000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rgb="FFFF0000"/>
      </top>
      <bottom/>
      <diagonal/>
    </border>
    <border>
      <left style="medium">
        <color rgb="FFC00000"/>
      </left>
      <right style="thin">
        <color rgb="FFFF0000"/>
      </right>
      <top style="medium">
        <color rgb="FFC00000"/>
      </top>
      <bottom style="thin">
        <color rgb="FFFF0000"/>
      </bottom>
      <diagonal/>
    </border>
    <border>
      <left style="thin">
        <color rgb="FFFF0000"/>
      </left>
      <right/>
      <top style="medium">
        <color rgb="FFC00000"/>
      </top>
      <bottom style="thin">
        <color rgb="FFFF0000"/>
      </bottom>
      <diagonal/>
    </border>
    <border>
      <left style="thin">
        <color rgb="FFFF0000"/>
      </left>
      <right style="medium">
        <color rgb="FFC00000"/>
      </right>
      <top style="medium">
        <color rgb="FFC00000"/>
      </top>
      <bottom style="thin">
        <color rgb="FFFF0000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FF0000"/>
      </right>
      <top style="thin">
        <color indexed="64"/>
      </top>
      <bottom style="thin">
        <color indexed="64"/>
      </bottom>
      <diagonal/>
    </border>
    <border>
      <left/>
      <right style="thin">
        <color rgb="FFFF0000"/>
      </right>
      <top style="thin">
        <color indexed="64"/>
      </top>
      <bottom/>
      <diagonal/>
    </border>
    <border>
      <left style="thin">
        <color rgb="FFFF0000"/>
      </left>
      <right style="thin">
        <color rgb="FFFF0000"/>
      </right>
      <top style="thin">
        <color indexed="64"/>
      </top>
      <bottom/>
      <diagonal/>
    </border>
    <border>
      <left/>
      <right style="medium">
        <color rgb="FFC00000"/>
      </right>
      <top style="thin">
        <color indexed="64"/>
      </top>
      <bottom style="thin">
        <color indexed="64"/>
      </bottom>
      <diagonal/>
    </border>
    <border>
      <left/>
      <right style="medium">
        <color rgb="FFC00000"/>
      </right>
      <top style="thin">
        <color indexed="64"/>
      </top>
      <bottom/>
      <diagonal/>
    </border>
  </borders>
  <cellStyleXfs count="1">
    <xf numFmtId="0" fontId="0" fillId="0" borderId="0"/>
  </cellStyleXfs>
  <cellXfs count="39">
    <xf numFmtId="0" fontId="0" fillId="0" borderId="0" xfId="0"/>
    <xf numFmtId="0" fontId="1" fillId="0" borderId="0" xfId="0" applyFont="1"/>
    <xf numFmtId="0" fontId="0" fillId="0" borderId="0" xfId="0" applyAlignment="1">
      <alignment vertical="center"/>
    </xf>
    <xf numFmtId="0" fontId="3" fillId="2" borderId="1" xfId="0" applyFont="1" applyFill="1" applyBorder="1" applyAlignment="1">
      <alignment horizontal="center" vertical="center"/>
    </xf>
    <xf numFmtId="14" fontId="0" fillId="0" borderId="0" xfId="0" applyNumberFormat="1"/>
    <xf numFmtId="0" fontId="0" fillId="0" borderId="0" xfId="0" applyAlignment="1">
      <alignment vertical="center" wrapText="1"/>
    </xf>
    <xf numFmtId="0" fontId="3" fillId="2" borderId="5" xfId="0" applyFont="1" applyFill="1" applyBorder="1" applyAlignment="1">
      <alignment horizontal="center" vertical="center"/>
    </xf>
    <xf numFmtId="0" fontId="3" fillId="2" borderId="6" xfId="0" applyFont="1" applyFill="1" applyBorder="1" applyAlignment="1">
      <alignment horizontal="center" vertical="center"/>
    </xf>
    <xf numFmtId="0" fontId="4" fillId="3" borderId="8" xfId="0" applyFont="1" applyFill="1" applyBorder="1" applyAlignment="1">
      <alignment vertical="center" wrapText="1"/>
    </xf>
    <xf numFmtId="0" fontId="4" fillId="3" borderId="9" xfId="0" applyFont="1" applyFill="1" applyBorder="1" applyAlignment="1">
      <alignment vertical="center" wrapText="1"/>
    </xf>
    <xf numFmtId="0" fontId="3" fillId="2" borderId="2" xfId="0" applyFont="1" applyFill="1" applyBorder="1" applyAlignment="1">
      <alignment horizontal="center" vertical="center" wrapText="1"/>
    </xf>
    <xf numFmtId="0" fontId="2" fillId="2" borderId="0" xfId="0" applyFont="1" applyFill="1" applyAlignment="1">
      <alignment horizontal="center" vertical="center"/>
    </xf>
    <xf numFmtId="0" fontId="3" fillId="2" borderId="12" xfId="0" applyFont="1" applyFill="1" applyBorder="1" applyAlignment="1">
      <alignment horizontal="center" vertical="center" wrapText="1"/>
    </xf>
    <xf numFmtId="0" fontId="3" fillId="2" borderId="11" xfId="0" applyFont="1" applyFill="1" applyBorder="1" applyAlignment="1">
      <alignment horizontal="center" vertical="center" wrapText="1"/>
    </xf>
    <xf numFmtId="0" fontId="3" fillId="2" borderId="0" xfId="0" applyFont="1" applyFill="1" applyAlignment="1">
      <alignment horizontal="center" vertical="center" wrapText="1"/>
    </xf>
    <xf numFmtId="0" fontId="4" fillId="3" borderId="0" xfId="0" applyFont="1" applyFill="1" applyAlignment="1">
      <alignment horizontal="left" vertical="center" wrapText="1"/>
    </xf>
    <xf numFmtId="0" fontId="4" fillId="3" borderId="0" xfId="0" applyFont="1" applyFill="1" applyAlignment="1">
      <alignment vertical="center" wrapText="1"/>
    </xf>
    <xf numFmtId="0" fontId="6" fillId="4" borderId="0" xfId="0" applyFont="1" applyFill="1" applyAlignment="1">
      <alignment vertical="center"/>
    </xf>
    <xf numFmtId="0" fontId="4" fillId="3" borderId="7" xfId="0" applyFont="1" applyFill="1" applyBorder="1" applyAlignment="1">
      <alignment horizontal="left" vertical="center" wrapText="1"/>
    </xf>
    <xf numFmtId="0" fontId="10" fillId="3" borderId="3" xfId="0" applyFont="1" applyFill="1" applyBorder="1" applyAlignment="1">
      <alignment vertical="center" wrapText="1"/>
    </xf>
    <xf numFmtId="0" fontId="10" fillId="3" borderId="13" xfId="0" applyFont="1" applyFill="1" applyBorder="1" applyAlignment="1">
      <alignment horizontal="left" wrapText="1"/>
    </xf>
    <xf numFmtId="0" fontId="10" fillId="3" borderId="14" xfId="0" applyFont="1" applyFill="1" applyBorder="1" applyAlignment="1">
      <alignment horizontal="left" wrapText="1"/>
    </xf>
    <xf numFmtId="0" fontId="10" fillId="3" borderId="15" xfId="0" applyFont="1" applyFill="1" applyBorder="1" applyAlignment="1">
      <alignment vertical="center" wrapText="1"/>
    </xf>
    <xf numFmtId="0" fontId="10" fillId="3" borderId="10" xfId="0" applyFont="1" applyFill="1" applyBorder="1" applyAlignment="1">
      <alignment vertical="center" wrapText="1"/>
    </xf>
    <xf numFmtId="0" fontId="11" fillId="3" borderId="7" xfId="0" applyFont="1" applyFill="1" applyBorder="1" applyAlignment="1">
      <alignment horizontal="left" vertical="center" wrapText="1"/>
    </xf>
    <xf numFmtId="0" fontId="11" fillId="3" borderId="8" xfId="0" applyFont="1" applyFill="1" applyBorder="1" applyAlignment="1">
      <alignment vertical="center" wrapText="1"/>
    </xf>
    <xf numFmtId="0" fontId="11" fillId="3" borderId="3" xfId="0" applyFont="1" applyFill="1" applyBorder="1" applyAlignment="1">
      <alignment vertical="center" wrapText="1"/>
    </xf>
    <xf numFmtId="0" fontId="11" fillId="3" borderId="9" xfId="0" applyFont="1" applyFill="1" applyBorder="1" applyAlignment="1">
      <alignment vertical="center" wrapText="1"/>
    </xf>
    <xf numFmtId="0" fontId="11" fillId="3" borderId="2" xfId="0" applyFont="1" applyFill="1" applyBorder="1" applyAlignment="1">
      <alignment vertical="center" wrapText="1"/>
    </xf>
    <xf numFmtId="0" fontId="0" fillId="0" borderId="0" xfId="0" applyAlignment="1">
      <alignment vertical="center"/>
    </xf>
    <xf numFmtId="0" fontId="2" fillId="2" borderId="4" xfId="0" applyFont="1" applyFill="1" applyBorder="1" applyAlignment="1">
      <alignment horizontal="center" vertical="center"/>
    </xf>
    <xf numFmtId="0" fontId="3" fillId="2" borderId="16" xfId="0" applyNumberFormat="1" applyFont="1" applyFill="1" applyBorder="1" applyAlignment="1">
      <alignment horizontal="center" vertical="center" wrapText="1"/>
    </xf>
    <xf numFmtId="0" fontId="11" fillId="3" borderId="13" xfId="0" applyNumberFormat="1" applyFont="1" applyFill="1" applyBorder="1" applyAlignment="1">
      <alignment horizontal="left" wrapText="1"/>
    </xf>
    <xf numFmtId="0" fontId="11" fillId="3" borderId="3" xfId="0" applyNumberFormat="1" applyFont="1" applyFill="1" applyBorder="1" applyAlignment="1">
      <alignment vertical="center" wrapText="1"/>
    </xf>
    <xf numFmtId="0" fontId="11" fillId="3" borderId="2" xfId="0" applyNumberFormat="1" applyFont="1" applyFill="1" applyBorder="1" applyAlignment="1">
      <alignment vertical="center" wrapText="1"/>
    </xf>
    <xf numFmtId="0" fontId="3" fillId="2" borderId="17" xfId="0" applyNumberFormat="1" applyFont="1" applyFill="1" applyBorder="1" applyAlignment="1">
      <alignment horizontal="center" vertical="center" wrapText="1"/>
    </xf>
    <xf numFmtId="0" fontId="11" fillId="3" borderId="14" xfId="0" applyNumberFormat="1" applyFont="1" applyFill="1" applyBorder="1" applyAlignment="1">
      <alignment horizontal="left" wrapText="1"/>
    </xf>
    <xf numFmtId="0" fontId="11" fillId="3" borderId="15" xfId="0" applyNumberFormat="1" applyFont="1" applyFill="1" applyBorder="1" applyAlignment="1">
      <alignment vertical="center" wrapText="1"/>
    </xf>
    <xf numFmtId="0" fontId="11" fillId="3" borderId="10" xfId="0" applyNumberFormat="1" applyFont="1" applyFill="1" applyBorder="1" applyAlignment="1">
      <alignment vertical="center" wrapText="1"/>
    </xf>
  </cellXfs>
  <cellStyles count="1">
    <cellStyle name="Normal" xfId="0" builtinId="0"/>
  </cellStyles>
  <dxfs count="22"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font>
        <b/>
        <strike val="0"/>
        <outline val="0"/>
        <shadow val="0"/>
        <u val="none"/>
        <vertAlign val="baseline"/>
        <sz val="18"/>
        <color auto="1"/>
        <name val="Aptos Narrow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general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8"/>
        <color auto="1"/>
        <name val="Aptos Narrow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rgb="FFFF0000"/>
        </left>
        <right style="thin">
          <color rgb="FFFF0000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8"/>
        <color auto="1"/>
        <name val="Aptos Narrow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left" vertical="bottom" textRotation="0" wrapText="1" indent="0" justifyLastLine="0" shrinkToFit="0" readingOrder="0"/>
      <border diagonalUp="0" diagonalDown="0" outline="0">
        <left/>
        <right style="thin">
          <color rgb="FFFF0000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2"/>
        <color theme="0"/>
        <name val="Aptos Narrow"/>
        <family val="2"/>
        <scheme val="minor"/>
      </font>
      <numFmt numFmtId="0" formatCode="General"/>
      <fill>
        <patternFill patternType="solid">
          <fgColor indexed="64"/>
          <bgColor rgb="FFC0000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 style="medium">
          <color rgb="FFC00000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2"/>
        <color theme="0"/>
        <name val="Aptos Narrow"/>
        <family val="2"/>
        <scheme val="minor"/>
      </font>
      <fill>
        <patternFill patternType="solid">
          <fgColor indexed="64"/>
          <bgColor rgb="FFC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openxmlformats.org/officeDocument/2006/relationships/calcChain" Target="calcChain.xml"/><Relationship Id="rId5" Type="http://schemas.openxmlformats.org/officeDocument/2006/relationships/theme" Target="theme/theme1.xml"/><Relationship Id="rId15" Type="http://schemas.openxmlformats.org/officeDocument/2006/relationships/customXml" Target="../customXml/item4.xml"/><Relationship Id="rId10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Relationship Id="rId14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83127</xdr:colOff>
      <xdr:row>0</xdr:row>
      <xdr:rowOff>152400</xdr:rowOff>
    </xdr:from>
    <xdr:to>
      <xdr:col>3</xdr:col>
      <xdr:colOff>7301345</xdr:colOff>
      <xdr:row>0</xdr:row>
      <xdr:rowOff>1891341</xdr:rowOff>
    </xdr:to>
    <xdr:grpSp>
      <xdr:nvGrpSpPr>
        <xdr:cNvPr id="9" name="Agrupar 8">
          <a:extLst>
            <a:ext uri="{FF2B5EF4-FFF2-40B4-BE49-F238E27FC236}">
              <a16:creationId xmlns:a16="http://schemas.microsoft.com/office/drawing/2014/main" id="{F9F1E9BA-7944-4B8B-AE94-82C44C75562D}"/>
            </a:ext>
          </a:extLst>
        </xdr:cNvPr>
        <xdr:cNvGrpSpPr/>
      </xdr:nvGrpSpPr>
      <xdr:grpSpPr>
        <a:xfrm>
          <a:off x="85032" y="152400"/>
          <a:ext cx="20954357" cy="1735131"/>
          <a:chOff x="450149" y="1958"/>
          <a:chExt cx="18239959" cy="1666898"/>
        </a:xfrm>
      </xdr:grpSpPr>
      <xdr:grpSp>
        <xdr:nvGrpSpPr>
          <xdr:cNvPr id="10" name="Agrupar 9">
            <a:extLst>
              <a:ext uri="{FF2B5EF4-FFF2-40B4-BE49-F238E27FC236}">
                <a16:creationId xmlns:a16="http://schemas.microsoft.com/office/drawing/2014/main" id="{747BFD2F-F83B-EB5F-273C-341059F15463}"/>
              </a:ext>
            </a:extLst>
          </xdr:cNvPr>
          <xdr:cNvGrpSpPr/>
        </xdr:nvGrpSpPr>
        <xdr:grpSpPr>
          <a:xfrm>
            <a:off x="6017156" y="1958"/>
            <a:ext cx="12672952" cy="1593274"/>
            <a:chOff x="6017156" y="1958"/>
            <a:chExt cx="12672952" cy="1593274"/>
          </a:xfrm>
        </xdr:grpSpPr>
        <xdr:pic>
          <xdr:nvPicPr>
            <xdr:cNvPr id="12" name="Imagem 11" descr="Sesi Logo – Serviço Social da Indústria Logo – PNG e Vetor ...">
              <a:extLst>
                <a:ext uri="{FF2B5EF4-FFF2-40B4-BE49-F238E27FC236}">
                  <a16:creationId xmlns:a16="http://schemas.microsoft.com/office/drawing/2014/main" id="{607E051C-463C-C867-EBF0-D1C57A63B1B0}"/>
                </a:ext>
              </a:extLst>
            </xdr:cNvPr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5282903" y="1958"/>
              <a:ext cx="3407205" cy="1593274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grpSp>
          <xdr:nvGrpSpPr>
            <xdr:cNvPr id="13" name="Agrupar 12">
              <a:extLst>
                <a:ext uri="{FF2B5EF4-FFF2-40B4-BE49-F238E27FC236}">
                  <a16:creationId xmlns:a16="http://schemas.microsoft.com/office/drawing/2014/main" id="{06A8C405-8D1A-E266-6125-2DB10540BB2E}"/>
                </a:ext>
              </a:extLst>
            </xdr:cNvPr>
            <xdr:cNvGrpSpPr/>
          </xdr:nvGrpSpPr>
          <xdr:grpSpPr>
            <a:xfrm>
              <a:off x="6017156" y="1352576"/>
              <a:ext cx="12292445" cy="186901"/>
              <a:chOff x="4610304" y="3719946"/>
              <a:chExt cx="11385787" cy="186901"/>
            </a:xfrm>
          </xdr:grpSpPr>
          <xdr:sp macro="" textlink="">
            <xdr:nvSpPr>
              <xdr:cNvPr id="14" name="Retângulo 13">
                <a:extLst>
                  <a:ext uri="{FF2B5EF4-FFF2-40B4-BE49-F238E27FC236}">
                    <a16:creationId xmlns:a16="http://schemas.microsoft.com/office/drawing/2014/main" id="{4DCCFC8A-67D3-5771-2E4D-C6B410D57999}"/>
                  </a:ext>
                </a:extLst>
              </xdr:cNvPr>
              <xdr:cNvSpPr/>
            </xdr:nvSpPr>
            <xdr:spPr>
              <a:xfrm>
                <a:off x="5073076" y="3834847"/>
                <a:ext cx="10920153" cy="72000"/>
              </a:xfrm>
              <a:prstGeom prst="rect">
                <a:avLst/>
              </a:prstGeom>
              <a:solidFill>
                <a:srgbClr val="646464"/>
              </a:solidFill>
              <a:ln>
                <a:solidFill>
                  <a:srgbClr val="646464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t-BR" sz="1100"/>
              </a:p>
            </xdr:txBody>
          </xdr:sp>
          <xdr:sp macro="" textlink="">
            <xdr:nvSpPr>
              <xdr:cNvPr id="15" name="Retângulo 14">
                <a:extLst>
                  <a:ext uri="{FF2B5EF4-FFF2-40B4-BE49-F238E27FC236}">
                    <a16:creationId xmlns:a16="http://schemas.microsoft.com/office/drawing/2014/main" id="{E7A5AACF-BB79-376C-8329-5999AA96E0AC}"/>
                  </a:ext>
                </a:extLst>
              </xdr:cNvPr>
              <xdr:cNvSpPr/>
            </xdr:nvSpPr>
            <xdr:spPr>
              <a:xfrm>
                <a:off x="4610304" y="3719946"/>
                <a:ext cx="11385787" cy="72000"/>
              </a:xfrm>
              <a:prstGeom prst="rect">
                <a:avLst/>
              </a:prstGeom>
              <a:solidFill>
                <a:srgbClr val="E30D1B"/>
              </a:solidFill>
              <a:ln>
                <a:solidFill>
                  <a:srgbClr val="E30D1B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t-BR" sz="1100"/>
              </a:p>
            </xdr:txBody>
          </xdr:sp>
        </xdr:grpSp>
      </xdr:grpSp>
      <xdr:sp macro="" textlink="">
        <xdr:nvSpPr>
          <xdr:cNvPr id="11" name="CaixaDeTexto 10">
            <a:extLst>
              <a:ext uri="{FF2B5EF4-FFF2-40B4-BE49-F238E27FC236}">
                <a16:creationId xmlns:a16="http://schemas.microsoft.com/office/drawing/2014/main" id="{168AF5F2-13E1-AD66-974F-F5F618D176DE}"/>
              </a:ext>
            </a:extLst>
          </xdr:cNvPr>
          <xdr:cNvSpPr txBox="1"/>
        </xdr:nvSpPr>
        <xdr:spPr>
          <a:xfrm>
            <a:off x="450149" y="543355"/>
            <a:ext cx="4165146" cy="112550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r>
              <a:rPr lang="pt-BR" sz="6600" b="1"/>
              <a:t>Semanário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1112520</xdr:colOff>
          <xdr:row>3</xdr:row>
          <xdr:rowOff>1828800</xdr:rowOff>
        </xdr:from>
        <xdr:to>
          <xdr:col>8</xdr:col>
          <xdr:colOff>381000</xdr:colOff>
          <xdr:row>4</xdr:row>
          <xdr:rowOff>609600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pt-BR" sz="2000" b="0" i="0" u="none" strike="noStrike" baseline="0">
                  <a:solidFill>
                    <a:srgbClr val="000000"/>
                  </a:solidFill>
                  <a:latin typeface="Aptos Narrow"/>
                </a:rPr>
                <a:t>Gerar todos os PDFs</a:t>
              </a:r>
            </a:p>
            <a:p>
              <a:pPr algn="ctr" rtl="0">
                <a:defRPr sz="1000"/>
              </a:pPr>
              <a:r>
                <a:rPr lang="pt-BR" sz="2000" b="0" i="0" u="none" strike="noStrike" baseline="0">
                  <a:solidFill>
                    <a:srgbClr val="000000"/>
                  </a:solidFill>
                  <a:latin typeface="Aptos Narrow"/>
                </a:rPr>
                <a:t> semana atual</a:t>
              </a:r>
            </a:p>
          </xdr:txBody>
        </xdr:sp>
        <xdr:clientData fPrintsWithSheet="0"/>
      </xdr:twoCellAnchor>
    </mc:Choice>
    <mc:Fallback/>
  </mc:AlternateContent>
  <xdr:oneCellAnchor>
    <xdr:from>
      <xdr:col>5</xdr:col>
      <xdr:colOff>1885950</xdr:colOff>
      <xdr:row>6</xdr:row>
      <xdr:rowOff>457200</xdr:rowOff>
    </xdr:from>
    <xdr:ext cx="184731" cy="264560"/>
    <xdr:sp macro="" textlink="">
      <xdr:nvSpPr>
        <xdr:cNvPr id="16" name="CaixaDeTexto 15">
          <a:extLst>
            <a:ext uri="{FF2B5EF4-FFF2-40B4-BE49-F238E27FC236}">
              <a16:creationId xmlns:a16="http://schemas.microsoft.com/office/drawing/2014/main" id="{5D92F4F2-0F26-269E-D624-3442E61B6F36}"/>
            </a:ext>
          </a:extLst>
        </xdr:cNvPr>
        <xdr:cNvSpPr txBox="1"/>
      </xdr:nvSpPr>
      <xdr:spPr>
        <a:xfrm>
          <a:off x="21717000" y="6629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pt-BR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190500</xdr:colOff>
          <xdr:row>4</xdr:row>
          <xdr:rowOff>1280160</xdr:rowOff>
        </xdr:from>
        <xdr:to>
          <xdr:col>6</xdr:col>
          <xdr:colOff>914400</xdr:colOff>
          <xdr:row>5</xdr:row>
          <xdr:rowOff>419100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pt-BR" sz="2200" b="0" i="0" u="none" strike="noStrike" baseline="0">
                  <a:solidFill>
                    <a:srgbClr val="000000"/>
                  </a:solidFill>
                  <a:latin typeface="Aptos Narrow"/>
                </a:rPr>
                <a:t>Gerar PDF por Seleção de Turma e Semana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45720</xdr:colOff>
          <xdr:row>3</xdr:row>
          <xdr:rowOff>1813560</xdr:rowOff>
        </xdr:from>
        <xdr:to>
          <xdr:col>6</xdr:col>
          <xdr:colOff>647700</xdr:colOff>
          <xdr:row>4</xdr:row>
          <xdr:rowOff>685800</xdr:rowOff>
        </xdr:to>
        <xdr:sp macro="" textlink="">
          <xdr:nvSpPr>
            <xdr:cNvPr id="1064" name="Button 40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0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pt-BR" sz="2000" b="0" i="0" u="none" strike="noStrike" baseline="0">
                  <a:solidFill>
                    <a:srgbClr val="000000"/>
                  </a:solidFill>
                  <a:latin typeface="Aptos Narrow"/>
                </a:rPr>
                <a:t>Gerar todos os PDFs da proxima  semana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121920</xdr:colOff>
          <xdr:row>0</xdr:row>
          <xdr:rowOff>403860</xdr:rowOff>
        </xdr:from>
        <xdr:to>
          <xdr:col>6</xdr:col>
          <xdr:colOff>1617345</xdr:colOff>
          <xdr:row>0</xdr:row>
          <xdr:rowOff>1238250</xdr:rowOff>
        </xdr:to>
        <xdr:sp macro="" textlink="">
          <xdr:nvSpPr>
            <xdr:cNvPr id="1066" name="Button 42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0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Selecionar  Pasta para Salvar PDFs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2" refreshOnLoad="1" connectionId="1" xr16:uid="{6F160840-EA86-43A1-B586-49DBD04D1BA6}" autoFormatId="16" applyNumberFormats="0" applyBorderFormats="0" applyFontFormats="0" applyPatternFormats="0" applyAlignmentFormats="0" applyWidthHeightFormats="0">
  <queryTableRefresh nextId="11">
    <queryTableFields count="10">
      <queryTableField id="1" name="Turma:" tableColumnId="1"/>
      <queryTableField id="2" name="NumeroSemana" tableColumnId="2"/>
      <queryTableField id="3" name="InicioSemana" tableColumnId="3"/>
      <queryTableField id="4" name="FimSemana" tableColumnId="4"/>
      <queryTableField id="5" name="TextoSemana" tableColumnId="5"/>
      <queryTableField id="6" name="Disciplina:" tableColumnId="6"/>
      <queryTableField id="7" name="Aula" tableColumnId="7"/>
      <queryTableField id="8" name="Casa" tableColumnId="8"/>
      <queryTableField id="10" dataBound="0" tableColumnId="12"/>
      <queryTableField id="9" name="Avaliativa" tableColumnId="9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refreshOnLoad="1" connectionId="2" xr16:uid="{3398B379-D10E-44C5-9C43-ECDB925176F0}" autoFormatId="16" applyNumberFormats="0" applyBorderFormats="0" applyFontFormats="0" applyPatternFormats="0" applyAlignmentFormats="0" applyWidthHeightFormats="0">
  <queryTableRefresh nextId="14">
    <queryTableFields count="13">
      <queryTableField id="1" name="Criado por.title" tableColumnId="1"/>
      <queryTableField id="2" name="Professor:" tableColumnId="2"/>
      <queryTableField id="3" name="Disciplina:" tableColumnId="3"/>
      <queryTableField id="4" name="Turma:" tableColumnId="4"/>
      <queryTableField id="5" name="Atividade em sala:" tableColumnId="5"/>
      <queryTableField id="6" name="Tarefa para casa:" tableColumnId="6"/>
      <queryTableField id="7" name="Atividade avaliativa:" tableColumnId="7"/>
      <queryTableField id="8" name="Selecione a Semana" tableColumnId="8"/>
      <queryTableField id="9" name="ID" tableColumnId="9"/>
      <queryTableField id="10" name="NumeroSemana" tableColumnId="10"/>
      <queryTableField id="11" name="InicioSemana" tableColumnId="11"/>
      <queryTableField id="12" name="FimSemana" tableColumnId="12"/>
      <queryTableField id="13" name="TextoSemana" tableColumnId="13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AF5987F-9685-460A-AE6A-2B8E22C9CE89}" name="tblModelo" displayName="tblModelo" ref="A3:D13" totalsRowShown="0" headerRowDxfId="21" headerRowBorderDxfId="20" tableBorderDxfId="19" totalsRowBorderDxfId="18">
  <autoFilter ref="A3:D13" xr:uid="{0AF5987F-9685-460A-AE6A-2B8E22C9CE89}"/>
  <tableColumns count="4">
    <tableColumn id="1" xr3:uid="{66C08A1F-46AE-4ED2-834B-9F828FCFFC15}" name="Disciplinas" dataDxfId="17">
      <calculatedColumnFormula>tblDisciplinas[[#This Row],[Disciplinas]]</calculatedColumnFormula>
    </tableColumn>
    <tableColumn id="2" xr3:uid="{FE9A2AAF-38CA-47D5-ADBD-0CDBBB69381C}" name="Atividades em Sala de aula" dataDxfId="16">
      <calculatedColumnFormula>IFERROR(_xlfn.XLOOKUP($F$4&amp;" | "&amp;$G$4&amp;" | "&amp;tblModelo[[#This Row],[Disciplinas]],Resumo[Chave],Resumo[Aula]),"")</calculatedColumnFormula>
    </tableColumn>
    <tableColumn id="3" xr3:uid="{F77E328D-6B37-4321-B10F-488A07055ADB}" name="Tarefas para Casa" dataDxfId="15">
      <calculatedColumnFormula>IFERROR(_xlfn.XLOOKUP($F$4&amp;" | "&amp;$G$4&amp;" | "&amp;tblModelo[[#This Row],[Disciplinas]],Resumo[Chave],Resumo[Casa]),"")</calculatedColumnFormula>
    </tableColumn>
    <tableColumn id="4" xr3:uid="{2A95E06A-5C10-451F-9A6E-FA196AC1CB25}" name="Atividade Avaliativa" dataDxfId="14">
      <calculatedColumnFormula>IFERROR(_xlfn.XLOOKUP($F$4&amp;" | "&amp;$G$4&amp;" | "&amp;tblModelo[[#This Row],[Disciplinas]],Resumo[Chave],Resumo[Avaliativa]),"")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0868AF9-C87F-4858-80D8-985D750748B6}" name="Resumo" displayName="Resumo" ref="A1:J5" tableType="queryTable" totalsRowShown="0">
  <autoFilter ref="A1:J5" xr:uid="{40868AF9-C87F-4858-80D8-985D750748B6}"/>
  <tableColumns count="10">
    <tableColumn id="1" xr3:uid="{587BBECA-8224-428D-964B-DD0041BE07FD}" uniqueName="1" name="Turma:" queryTableFieldId="1"/>
    <tableColumn id="2" xr3:uid="{B2BE5C4F-22E4-4FCE-86D6-640607E93123}" uniqueName="2" name="NumeroSemana" queryTableFieldId="2"/>
    <tableColumn id="3" xr3:uid="{0569DE45-B5EA-4AD5-B48F-4B9640FAAD5E}" uniqueName="3" name="InicioSemana" queryTableFieldId="3" dataDxfId="3"/>
    <tableColumn id="4" xr3:uid="{9E736D80-23A4-4B5C-8A40-8ED90DF63B46}" uniqueName="4" name="FimSemana" queryTableFieldId="4" dataDxfId="2"/>
    <tableColumn id="5" xr3:uid="{C4001A75-7CE8-4EED-87F5-79CEF11E522F}" uniqueName="5" name="TextoSemana" queryTableFieldId="5"/>
    <tableColumn id="6" xr3:uid="{1CED4EAB-4484-45FC-82D8-1F8EFAAD3C9B}" uniqueName="6" name="Disciplina:" queryTableFieldId="6"/>
    <tableColumn id="7" xr3:uid="{4723DBD8-DA85-4076-A114-BBD44872977C}" uniqueName="7" name="Aula" queryTableFieldId="7"/>
    <tableColumn id="8" xr3:uid="{DAA39F0D-4079-47BE-8FC9-C6DED2834554}" uniqueName="8" name="Casa" queryTableFieldId="8"/>
    <tableColumn id="12" xr3:uid="{E5568128-61E9-4C3E-99D5-0170A4C59A57}" uniqueName="12" name="Chave" queryTableFieldId="10">
      <calculatedColumnFormula>Resumo[[#This Row],[Turma:]] &amp; " | " &amp; Resumo[[#This Row],[TextoSemana]] &amp; " | " &amp; Resumo[[#This Row],[Disciplina:]]</calculatedColumnFormula>
    </tableColumn>
    <tableColumn id="9" xr3:uid="{97615B4E-F862-40F5-9C8F-8EF9A6105F82}" uniqueName="9" name="Avaliativa" queryTableFieldId="9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5BEA8BB-D687-420A-8A1A-84615484BC26}" name="Semanário_2026" displayName="Semanário_2026" ref="A1:M5" tableType="queryTable" totalsRowShown="0">
  <autoFilter ref="A1:M5" xr:uid="{65BEA8BB-D687-420A-8A1A-84615484BC26}"/>
  <tableColumns count="13">
    <tableColumn id="1" xr3:uid="{C80285F3-14ED-4B61-9041-BEB670EA0417}" uniqueName="1" name="Criado por.title" queryTableFieldId="1"/>
    <tableColumn id="2" xr3:uid="{70281C78-0BD6-44B3-9DBE-4FD86D54121A}" uniqueName="2" name="Professor:" queryTableFieldId="2"/>
    <tableColumn id="3" xr3:uid="{804634BE-578A-4748-88AD-4F63E327DEDB}" uniqueName="3" name="Disciplina:" queryTableFieldId="3"/>
    <tableColumn id="4" xr3:uid="{4D213824-64F4-4D7E-9C86-73608AB42CD3}" uniqueName="4" name="Turma:" queryTableFieldId="4"/>
    <tableColumn id="5" xr3:uid="{5B8B32E3-EBF3-4E2B-B6B8-981CE2AE9229}" uniqueName="5" name="Atividade em sala:" queryTableFieldId="5"/>
    <tableColumn id="6" xr3:uid="{F2ECC3E0-3144-40A5-9E57-E1FF3E9D7F86}" uniqueName="6" name="Tarefa para casa:" queryTableFieldId="6"/>
    <tableColumn id="7" xr3:uid="{C8FE91F7-4CE3-442A-856B-9D35EE36EBC0}" uniqueName="7" name="Atividade avaliativa:" queryTableFieldId="7"/>
    <tableColumn id="8" xr3:uid="{AD8D3C0C-0272-487A-9E30-E9E514B35EFD}" uniqueName="8" name="Selecione a Semana" queryTableFieldId="8"/>
    <tableColumn id="9" xr3:uid="{27CC3356-5C06-4460-A061-3B87E2A5DF81}" uniqueName="9" name="ID" queryTableFieldId="9"/>
    <tableColumn id="10" xr3:uid="{05602576-D589-4F9E-8800-F620DAFFE560}" uniqueName="10" name="NumeroSemana" queryTableFieldId="10"/>
    <tableColumn id="11" xr3:uid="{79FA90A4-C010-43F1-845D-40031FA759C6}" uniqueName="11" name="InicioSemana" queryTableFieldId="11" dataDxfId="1"/>
    <tableColumn id="12" xr3:uid="{B90CB131-C135-4011-B4F8-1A1C6DD74BA4}" uniqueName="12" name="FimSemana" queryTableFieldId="12" dataDxfId="0"/>
    <tableColumn id="13" xr3:uid="{CFD2456E-0D68-48E5-A3D1-ECDF16FCAD6C}" uniqueName="13" name="TextoSemana" queryTableFieldId="13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DB3914B7-C1AC-4070-8CBF-3B237382E496}" name="tblDisciplinas" displayName="tblDisciplinas" ref="E2:E19" totalsRowShown="0" dataDxfId="13">
  <autoFilter ref="E2:E19" xr:uid="{DB3914B7-C1AC-4070-8CBF-3B237382E496}"/>
  <tableColumns count="1">
    <tableColumn id="1" xr3:uid="{616039CA-8FE6-41A3-B239-256E7F235AA4}" name="Disciplinas" dataDxfId="1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B9D72C8B-6C9A-4A7C-985A-BBDB89D158F4}" name="tblTurmas" displayName="tblTurmas" ref="G1:G33" totalsRowShown="0">
  <autoFilter ref="G1:G33" xr:uid="{B9D72C8B-6C9A-4A7C-985A-BBDB89D158F4}"/>
  <tableColumns count="1">
    <tableColumn id="1" xr3:uid="{8EAF0DB4-2637-4D75-BE72-8C152489CE67}" name="Selecionar Turma">
      <calculatedColumnFormula>padrao!A2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A1F9D23A-4F6C-400C-8C44-1D45C90368C0}" name="tblSemanas" displayName="tblSemanas" ref="H1:H53" totalsRowShown="0">
  <autoFilter ref="H1:H53" xr:uid="{A1F9D23A-4F6C-400C-8C44-1D45C90368C0}"/>
  <tableColumns count="1">
    <tableColumn id="1" xr3:uid="{B28B4803-4F9A-4E3F-A83D-DE24FA5604D9}" name="Selecionar Semana">
      <calculatedColumnFormula>padrao!C2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F661E2C-76B0-4E4F-AFF7-412475F75302}" name="tblDisciplinasFundII" displayName="tblDisciplinasFundII" ref="E22:E32" totalsRowShown="0" dataDxfId="11">
  <autoFilter ref="E22:E32" xr:uid="{DF661E2C-76B0-4E4F-AFF7-412475F75302}"/>
  <tableColumns count="1">
    <tableColumn id="1" xr3:uid="{EFE45655-B6A0-4F81-9CAF-0B022DCC7627}" name="Disciplinas" dataDxfId="10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F93605D-108D-45AF-A9F5-E81453ABE6CC}" name="tblDisciplinas1EM" displayName="tblDisciplinas1EM" ref="E35:E50" totalsRowShown="0" dataDxfId="9">
  <autoFilter ref="E35:E50" xr:uid="{7F93605D-108D-45AF-A9F5-E81453ABE6CC}"/>
  <tableColumns count="1">
    <tableColumn id="1" xr3:uid="{629CCB22-6A59-4115-9739-9AE6B42DB966}" name="Disciplinas " dataDxfId="8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9D270CA-19C1-40D3-91ED-36DA6058D3F7}" name="tblDisciplinas2EM" displayName="tblDisciplinas2EM" ref="E54:E66" totalsRowShown="0" dataDxfId="7">
  <autoFilter ref="E54:E66" xr:uid="{19D270CA-19C1-40D3-91ED-36DA6058D3F7}"/>
  <tableColumns count="1">
    <tableColumn id="1" xr3:uid="{85D615AC-76DB-4799-B514-E37CE5D19074}" name="Disciplinas" dataDxfId="6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7E3DD26E-73E7-4733-B40F-96DB5B647497}" name="tblDisciplinas3EM" displayName="tblDisciplinas3EM" ref="E73:E81" totalsRowShown="0" dataDxfId="5">
  <autoFilter ref="E73:E81" xr:uid="{7E3DD26E-73E7-4733-B40F-96DB5B647497}"/>
  <tableColumns count="1">
    <tableColumn id="1" xr3:uid="{E703E604-28A2-4F71-ABA4-7A13FBF23408}" name="Disciplinas" dataDxfId="4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474E2CC1-CF18-4D91-BBDA-92E8CA9167FE}" name="tblMapaDisciplinas" displayName="tblMapaDisciplinas" ref="G60:H92" totalsRowShown="0">
  <autoFilter ref="G60:H92" xr:uid="{474E2CC1-CF18-4D91-BBDA-92E8CA9167FE}"/>
  <tableColumns count="2">
    <tableColumn id="1" xr3:uid="{8D4BFB97-1FDD-494F-8E22-9C75A35EDA6C}" name="Turma"/>
    <tableColumn id="2" xr3:uid="{3EAD5F93-BCD0-409F-9FCB-6B638DD56395}" name="TabelaDisciplina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4EF637F-868A-498B-9236-AD2B7692F101}" name="tblConfig" displayName="tblConfig" ref="J1:K2" totalsRowShown="0">
  <autoFilter ref="J1:K2" xr:uid="{44EF637F-868A-498B-9236-AD2B7692F101}"/>
  <tableColumns count="2">
    <tableColumn id="1" xr3:uid="{EAFE7775-F33A-48B7-BB16-112A2E35BEFB}" name="Chave"/>
    <tableColumn id="2" xr3:uid="{E49E5751-EE4B-4772-8EE8-934E72BBCFCB}" name="Valor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1.xml"/><Relationship Id="rId3" Type="http://schemas.openxmlformats.org/officeDocument/2006/relationships/table" Target="../tables/table6.xml"/><Relationship Id="rId7" Type="http://schemas.openxmlformats.org/officeDocument/2006/relationships/table" Target="../tables/table10.xml"/><Relationship Id="rId2" Type="http://schemas.openxmlformats.org/officeDocument/2006/relationships/table" Target="../tables/table5.xml"/><Relationship Id="rId1" Type="http://schemas.openxmlformats.org/officeDocument/2006/relationships/table" Target="../tables/table4.xml"/><Relationship Id="rId6" Type="http://schemas.openxmlformats.org/officeDocument/2006/relationships/table" Target="../tables/table9.xml"/><Relationship Id="rId5" Type="http://schemas.openxmlformats.org/officeDocument/2006/relationships/table" Target="../tables/table8.xml"/><Relationship Id="rId4" Type="http://schemas.openxmlformats.org/officeDocument/2006/relationships/table" Target="../tables/table7.xml"/><Relationship Id="rId9" Type="http://schemas.openxmlformats.org/officeDocument/2006/relationships/table" Target="../tables/table1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FCF14F-3E13-43E9-8B1A-5ABB35B4B142}">
  <sheetPr codeName="Planilha1">
    <pageSetUpPr fitToPage="1"/>
  </sheetPr>
  <dimension ref="A1:J24"/>
  <sheetViews>
    <sheetView view="pageBreakPreview" zoomScale="70" zoomScaleNormal="40" zoomScaleSheetLayoutView="70" zoomScalePageLayoutView="25" workbookViewId="0">
      <selection activeCell="G7" sqref="G7"/>
    </sheetView>
  </sheetViews>
  <sheetFormatPr defaultRowHeight="14.4" x14ac:dyDescent="0.3"/>
  <cols>
    <col min="1" max="1" width="34.6640625" customWidth="1"/>
    <col min="2" max="4" width="90.6640625" customWidth="1"/>
    <col min="6" max="6" width="30.109375" bestFit="1" customWidth="1"/>
    <col min="7" max="7" width="42.33203125" bestFit="1" customWidth="1"/>
  </cols>
  <sheetData>
    <row r="1" spans="1:10" s="2" customFormat="1" ht="157.94999999999999" customHeight="1" x14ac:dyDescent="0.3">
      <c r="A1" s="29" t="s">
        <v>4</v>
      </c>
      <c r="B1" s="29"/>
      <c r="C1" s="29"/>
      <c r="D1" s="29"/>
    </row>
    <row r="2" spans="1:10" ht="45" customHeight="1" x14ac:dyDescent="0.3">
      <c r="A2" s="11" t="str">
        <f>$F$4</f>
        <v>6º ano A</v>
      </c>
      <c r="B2" s="30" t="str">
        <f>$G$4</f>
        <v>Semana 2 - 05/jan a 09/jan</v>
      </c>
      <c r="C2" s="30"/>
      <c r="D2" s="30"/>
    </row>
    <row r="3" spans="1:10" ht="60" customHeight="1" thickBot="1" x14ac:dyDescent="0.35">
      <c r="A3" s="3" t="s">
        <v>0</v>
      </c>
      <c r="B3" s="6" t="s">
        <v>1</v>
      </c>
      <c r="C3" s="6" t="s">
        <v>2</v>
      </c>
      <c r="D3" s="7" t="s">
        <v>3</v>
      </c>
    </row>
    <row r="4" spans="1:10" ht="150" customHeight="1" thickBot="1" x14ac:dyDescent="0.35">
      <c r="A4" s="10" t="s">
        <v>15</v>
      </c>
      <c r="B4" s="24" t="str">
        <f>IFERROR(_xlfn.XLOOKUP($F$4&amp;" | "&amp;$G$4&amp;" | "&amp;tblModelo[[#This Row],[Disciplinas]],Resumo[Chave],Resumo[Aula]),"")</f>
        <v/>
      </c>
      <c r="C4" s="25" t="str">
        <f>IFERROR(_xlfn.XLOOKUP($F$4&amp;" | "&amp;$G$4&amp;" | "&amp;tblModelo[[#This Row],[Disciplinas]],Resumo[Chave],Resumo[Casa]),"")</f>
        <v/>
      </c>
      <c r="D4" s="27" t="str">
        <f>IFERROR(_xlfn.XLOOKUP($F$4&amp;" | "&amp;$G$4&amp;" | "&amp;tblModelo[[#This Row],[Disciplinas]],Resumo[Chave],Resumo[Avaliativa]),"")</f>
        <v/>
      </c>
      <c r="F4" s="17" t="s">
        <v>24</v>
      </c>
      <c r="G4" s="17" t="s">
        <v>83</v>
      </c>
    </row>
    <row r="5" spans="1:10" ht="150" customHeight="1" thickBot="1" x14ac:dyDescent="0.35">
      <c r="A5" s="10" t="s">
        <v>6</v>
      </c>
      <c r="B5" s="24" t="str">
        <f>IFERROR(_xlfn.XLOOKUP($F$4&amp;" | "&amp;$G$4&amp;" | "&amp;tblModelo[[#This Row],[Disciplinas]],Resumo[Chave],Resumo[Aula]),"")</f>
        <v>Conceito /Características do gênero notícia e reportagem- Desenvolvimento Letrus</v>
      </c>
      <c r="C5" s="25" t="str">
        <f>IFERROR(_xlfn.XLOOKUP($F$4&amp;" | "&amp;$G$4&amp;" | "&amp;tblModelo[[#This Row],[Disciplinas]],Resumo[Chave],Resumo[Casa]),"")</f>
        <v xml:space="preserve">Produção de notícia Letrus/exercícios do livro didático </v>
      </c>
      <c r="D5" s="27" t="str">
        <f>IFERROR(_xlfn.XLOOKUP($F$4&amp;" | "&amp;$G$4&amp;" | "&amp;tblModelo[[#This Row],[Disciplinas]],Resumo[Chave],Resumo[Avaliativa]),"")</f>
        <v>Produção de texto</v>
      </c>
    </row>
    <row r="6" spans="1:10" ht="150" customHeight="1" thickBot="1" x14ac:dyDescent="0.35">
      <c r="A6" s="10" t="s">
        <v>7</v>
      </c>
      <c r="B6" s="24" t="str">
        <f>IFERROR(_xlfn.XLOOKUP($F$4&amp;" | "&amp;$G$4&amp;" | "&amp;tblModelo[[#This Row],[Disciplinas]],Resumo[Chave],Resumo[Aula]),"")</f>
        <v/>
      </c>
      <c r="C6" s="25" t="str">
        <f>IFERROR(_xlfn.XLOOKUP($F$4&amp;" | "&amp;$G$4&amp;" | "&amp;tblModelo[[#This Row],[Disciplinas]],Resumo[Chave],Resumo[Casa]),"")</f>
        <v/>
      </c>
      <c r="D6" s="27" t="str">
        <f>IFERROR(_xlfn.XLOOKUP($F$4&amp;" | "&amp;$G$4&amp;" | "&amp;tblModelo[[#This Row],[Disciplinas]],Resumo[Chave],Resumo[Avaliativa]),"")</f>
        <v/>
      </c>
    </row>
    <row r="7" spans="1:10" ht="150" customHeight="1" thickBot="1" x14ac:dyDescent="0.35">
      <c r="A7" s="10" t="s">
        <v>8</v>
      </c>
      <c r="B7" s="24" t="str">
        <f>IFERROR(_xlfn.XLOOKUP($F$4&amp;" | "&amp;$G$4&amp;" | "&amp;tblModelo[[#This Row],[Disciplinas]],Resumo[Chave],Resumo[Aula]),"")</f>
        <v/>
      </c>
      <c r="C7" s="25" t="str">
        <f>IFERROR(_xlfn.XLOOKUP($F$4&amp;" | "&amp;$G$4&amp;" | "&amp;tblModelo[[#This Row],[Disciplinas]],Resumo[Chave],Resumo[Casa]),"")</f>
        <v/>
      </c>
      <c r="D7" s="27" t="str">
        <f>IFERROR(_xlfn.XLOOKUP($F$4&amp;" | "&amp;$G$4&amp;" | "&amp;tblModelo[[#This Row],[Disciplinas]],Resumo[Chave],Resumo[Avaliativa]),"")</f>
        <v/>
      </c>
    </row>
    <row r="8" spans="1:10" ht="150" customHeight="1" thickBot="1" x14ac:dyDescent="0.35">
      <c r="A8" s="10" t="s">
        <v>9</v>
      </c>
      <c r="B8" s="24" t="str">
        <f>IFERROR(_xlfn.XLOOKUP($F$4&amp;" | "&amp;$G$4&amp;" | "&amp;tblModelo[[#This Row],[Disciplinas]],Resumo[Chave],Resumo[Aula]),"")</f>
        <v/>
      </c>
      <c r="C8" s="25" t="str">
        <f>IFERROR(_xlfn.XLOOKUP($F$4&amp;" | "&amp;$G$4&amp;" | "&amp;tblModelo[[#This Row],[Disciplinas]],Resumo[Chave],Resumo[Casa]),"")</f>
        <v/>
      </c>
      <c r="D8" s="27" t="str">
        <f>IFERROR(_xlfn.XLOOKUP($F$4&amp;" | "&amp;$G$4&amp;" | "&amp;tblModelo[[#This Row],[Disciplinas]],Resumo[Chave],Resumo[Avaliativa]),"")</f>
        <v/>
      </c>
    </row>
    <row r="9" spans="1:10" ht="150" customHeight="1" thickBot="1" x14ac:dyDescent="0.35">
      <c r="A9" s="10" t="s">
        <v>10</v>
      </c>
      <c r="B9" s="24" t="str">
        <f>IFERROR(_xlfn.XLOOKUP($F$4&amp;" | "&amp;$G$4&amp;" | "&amp;tblModelo[[#This Row],[Disciplinas]],Resumo[Chave],Resumo[Aula]),"")</f>
        <v/>
      </c>
      <c r="C9" s="25" t="str">
        <f>IFERROR(_xlfn.XLOOKUP($F$4&amp;" | "&amp;$G$4&amp;" | "&amp;tblModelo[[#This Row],[Disciplinas]],Resumo[Chave],Resumo[Casa]),"")</f>
        <v/>
      </c>
      <c r="D9" s="27" t="str">
        <f>IFERROR(_xlfn.XLOOKUP($F$4&amp;" | "&amp;$G$4&amp;" | "&amp;tblModelo[[#This Row],[Disciplinas]],Resumo[Chave],Resumo[Avaliativa]),"")</f>
        <v/>
      </c>
    </row>
    <row r="10" spans="1:10" ht="150" customHeight="1" thickBot="1" x14ac:dyDescent="0.35">
      <c r="A10" s="10" t="s">
        <v>11</v>
      </c>
      <c r="B10" s="24" t="str">
        <f>IFERROR(_xlfn.XLOOKUP($F$4&amp;" | "&amp;$G$4&amp;" | "&amp;tblModelo[[#This Row],[Disciplinas]],Resumo[Chave],Resumo[Aula]),"")</f>
        <v/>
      </c>
      <c r="C10" s="25" t="str">
        <f>IFERROR(_xlfn.XLOOKUP($F$4&amp;" | "&amp;$G$4&amp;" | "&amp;tblModelo[[#This Row],[Disciplinas]],Resumo[Chave],Resumo[Casa]),"")</f>
        <v/>
      </c>
      <c r="D10" s="27" t="str">
        <f>IFERROR(_xlfn.XLOOKUP($F$4&amp;" | "&amp;$G$4&amp;" | "&amp;tblModelo[[#This Row],[Disciplinas]],Resumo[Chave],Resumo[Avaliativa]),"")</f>
        <v/>
      </c>
    </row>
    <row r="11" spans="1:10" ht="150" customHeight="1" x14ac:dyDescent="0.3">
      <c r="A11" s="10" t="s">
        <v>12</v>
      </c>
      <c r="B11" s="24" t="str">
        <f>IFERROR(_xlfn.XLOOKUP($F$4&amp;" | "&amp;$G$4&amp;" | "&amp;tblModelo[[#This Row],[Disciplinas]],Resumo[Chave],Resumo[Aula]),"")</f>
        <v/>
      </c>
      <c r="C11" s="25" t="str">
        <f>IFERROR(_xlfn.XLOOKUP($F$4&amp;" | "&amp;$G$4&amp;" | "&amp;tblModelo[[#This Row],[Disciplinas]],Resumo[Chave],Resumo[Casa]),"")</f>
        <v/>
      </c>
      <c r="D11" s="27" t="str">
        <f>IFERROR(_xlfn.XLOOKUP($F$4&amp;" | "&amp;$G$4&amp;" | "&amp;tblModelo[[#This Row],[Disciplinas]],Resumo[Chave],Resumo[Avaliativa]),"")</f>
        <v/>
      </c>
    </row>
    <row r="12" spans="1:10" ht="150" customHeight="1" x14ac:dyDescent="0.45">
      <c r="A12" s="31" t="s">
        <v>13</v>
      </c>
      <c r="B12" s="32" t="str">
        <f>IFERROR(_xlfn.XLOOKUP($F$4&amp;" | "&amp;$G$4&amp;" | "&amp;tblModelo[[#This Row],[Disciplinas]],Resumo[Chave],Resumo[Aula]),"")</f>
        <v/>
      </c>
      <c r="C12" s="33" t="str">
        <f>IFERROR(_xlfn.XLOOKUP($F$4&amp;" | "&amp;$G$4&amp;" | "&amp;tblModelo[[#This Row],[Disciplinas]],Resumo[Chave],Resumo[Casa]),"")</f>
        <v/>
      </c>
      <c r="D12" s="34" t="str">
        <f>IFERROR(_xlfn.XLOOKUP($F$4&amp;" | "&amp;$G$4&amp;" | "&amp;tblModelo[[#This Row],[Disciplinas]],Resumo[Chave],Resumo[Avaliativa]),"")</f>
        <v/>
      </c>
    </row>
    <row r="13" spans="1:10" ht="150" customHeight="1" x14ac:dyDescent="0.45">
      <c r="A13" s="35" t="s">
        <v>14</v>
      </c>
      <c r="B13" s="36" t="str">
        <f>IFERROR(_xlfn.XLOOKUP($F$4&amp;" | "&amp;$G$4&amp;" | "&amp;tblModelo[[#This Row],[Disciplinas]],Resumo[Chave],Resumo[Aula]),"")</f>
        <v/>
      </c>
      <c r="C13" s="37" t="str">
        <f>IFERROR(_xlfn.XLOOKUP($F$4&amp;" | "&amp;$G$4&amp;" | "&amp;tblModelo[[#This Row],[Disciplinas]],Resumo[Chave],Resumo[Casa]),"")</f>
        <v/>
      </c>
      <c r="D13" s="38" t="str">
        <f>IFERROR(_xlfn.XLOOKUP($F$4&amp;" | "&amp;$G$4&amp;" | "&amp;tblModelo[[#This Row],[Disciplinas]],Resumo[Chave],Resumo[Avaliativa]),"")</f>
        <v/>
      </c>
    </row>
    <row r="14" spans="1:10" ht="150" customHeight="1" x14ac:dyDescent="0.35">
      <c r="A14" s="12" t="s">
        <v>67</v>
      </c>
      <c r="B14" s="20" t="str">
        <f>IFERROR(_xlfn.XLOOKUP($F$4&amp;" | "&amp;$G$4&amp;" | "&amp;tblModelo[[#This Row],[Disciplinas]],Resumo[Chave],Resumo[Aula]),"")</f>
        <v/>
      </c>
      <c r="C14" s="26" t="str">
        <f>IFERROR(_xlfn.XLOOKUP($F$4&amp;" | "&amp;$G$4&amp;" | "&amp;tblModelo[[#This Row],[Disciplinas]],Resumo[Chave],Resumo[Casa]),"")</f>
        <v/>
      </c>
      <c r="D14" s="28" t="str">
        <f>IFERROR(_xlfn.XLOOKUP($F$4&amp;" | "&amp;$G$4&amp;" | "&amp;tblModelo[[#This Row],[Disciplinas]],Resumo[Chave],Resumo[Avaliativa]),"")</f>
        <v/>
      </c>
      <c r="J14" t="s">
        <v>4</v>
      </c>
    </row>
    <row r="15" spans="1:10" s="16" customFormat="1" ht="150" customHeight="1" x14ac:dyDescent="0.35">
      <c r="A15" s="12" t="s">
        <v>68</v>
      </c>
      <c r="B15" s="20" t="str">
        <f>IFERROR(_xlfn.XLOOKUP($F$4&amp;" | "&amp;$G$4&amp;" | "&amp;tblModelo[[#This Row],[Disciplinas]],Resumo[Chave],Resumo[Aula]),"")</f>
        <v/>
      </c>
      <c r="C15" s="26" t="str">
        <f>IFERROR(_xlfn.XLOOKUP($F$4&amp;" | "&amp;$G$4&amp;" | "&amp;tblModelo[[#This Row],[Disciplinas]],Resumo[Chave],Resumo[Casa]),"")</f>
        <v/>
      </c>
      <c r="D15" s="28" t="str">
        <f>IFERROR(_xlfn.XLOOKUP($F$4&amp;" | "&amp;$G$4&amp;" | "&amp;tblModelo[[#This Row],[Disciplinas]],Resumo[Chave],Resumo[Avaliativa]),"")</f>
        <v/>
      </c>
    </row>
    <row r="16" spans="1:10" ht="150" customHeight="1" x14ac:dyDescent="0.35">
      <c r="A16" s="12" t="s">
        <v>69</v>
      </c>
      <c r="B16" s="20" t="str">
        <f>IFERROR(_xlfn.XLOOKUP($F$4&amp;" | "&amp;$G$4&amp;" | "&amp;tblModelo[[#This Row],[Disciplinas]],Resumo[Chave],Resumo[Aula]),"")</f>
        <v/>
      </c>
      <c r="C16" s="26" t="str">
        <f>IFERROR(_xlfn.XLOOKUP($F$4&amp;" | "&amp;$G$4&amp;" | "&amp;tblModelo[[#This Row],[Disciplinas]],Resumo[Chave],Resumo[Casa]),"")</f>
        <v/>
      </c>
      <c r="D16" s="28" t="str">
        <f>IFERROR(_xlfn.XLOOKUP($F$4&amp;" | "&amp;$G$4&amp;" | "&amp;tblModelo[[#This Row],[Disciplinas]],Resumo[Chave],Resumo[Avaliativa]),"")</f>
        <v/>
      </c>
    </row>
    <row r="17" spans="1:4" ht="150" customHeight="1" x14ac:dyDescent="0.35">
      <c r="A17" s="12" t="s">
        <v>32</v>
      </c>
      <c r="B17" s="20" t="str">
        <f>IFERROR(_xlfn.XLOOKUP($F$4&amp;" | "&amp;$G$4&amp;" | "&amp;tblModelo[[#This Row],[Disciplinas]],Resumo[Chave],Resumo[Aula]),"")</f>
        <v/>
      </c>
      <c r="C17" s="19" t="str">
        <f>IFERROR(_xlfn.XLOOKUP($F$4&amp;" | "&amp;$G$4&amp;" | "&amp;tblModelo[[#This Row],[Disciplinas]],Resumo[Chave],Resumo[Casa]),"")</f>
        <v/>
      </c>
      <c r="D17" s="28" t="str">
        <f>IFERROR(_xlfn.XLOOKUP($F$4&amp;" | "&amp;$G$4&amp;" | "&amp;tblModelo[[#This Row],[Disciplinas]],Resumo[Chave],Resumo[Avaliativa]),"")</f>
        <v/>
      </c>
    </row>
    <row r="18" spans="1:4" ht="150" customHeight="1" thickBot="1" x14ac:dyDescent="0.4">
      <c r="A18" s="13" t="s">
        <v>70</v>
      </c>
      <c r="B18" s="21" t="str">
        <f>IFERROR(_xlfn.XLOOKUP($F$4&amp;" | "&amp;$G$4&amp;" | "&amp;tblModelo[[#This Row],[Disciplinas]],Resumo[Chave],Resumo[Aula]),"")</f>
        <v/>
      </c>
      <c r="C18" s="22" t="str">
        <f>IFERROR(_xlfn.XLOOKUP($F$4&amp;" | "&amp;$G$4&amp;" | "&amp;tblModelo[[#This Row],[Disciplinas]],Resumo[Chave],Resumo[Casa]),"")</f>
        <v/>
      </c>
      <c r="D18" s="23" t="str">
        <f>IFERROR(_xlfn.XLOOKUP($F$4&amp;" | "&amp;$G$4&amp;" | "&amp;tblModelo[[#This Row],[Disciplinas]],Resumo[Chave],Resumo[Avaliativa]),"")</f>
        <v/>
      </c>
    </row>
    <row r="19" spans="1:4" ht="150" customHeight="1" thickBot="1" x14ac:dyDescent="0.35">
      <c r="A19" s="12" t="s">
        <v>69</v>
      </c>
      <c r="B19" s="18" t="str">
        <f>IFERROR(_xlfn.XLOOKUP($F$4&amp;"|"&amp;$G$4&amp;"|"&amp;tblModelo[[#This Row],[Disciplinas]],Resumo[Chave],Resumo[Aula]),"")</f>
        <v/>
      </c>
      <c r="C19" s="8" t="str">
        <f>IFERROR(_xlfn.XLOOKUP($F$4&amp;"|"&amp;$G$4&amp;"|"&amp;tblModelo[[#This Row],[Disciplinas]],Resumo[Chave],Resumo[Casa]),"")</f>
        <v/>
      </c>
      <c r="D19" s="9" t="str">
        <f>IFERROR(_xlfn.XLOOKUP($F$4&amp;"|"&amp;$G$4&amp;"|"&amp;tblModelo[[#This Row],[Disciplinas]],Resumo[Chave],Resumo[Avaliativa]),"")</f>
        <v/>
      </c>
    </row>
    <row r="20" spans="1:4" ht="58.2" thickBot="1" x14ac:dyDescent="0.35">
      <c r="A20" s="12" t="s">
        <v>32</v>
      </c>
      <c r="B20" s="18" t="str">
        <f>IFERROR(_xlfn.XLOOKUP($F$4&amp;"|"&amp;$G$4&amp;"|"&amp;tblModelo[[#This Row],[Disciplinas]],Resumo[Chave],Resumo[Aula]),"")</f>
        <v/>
      </c>
      <c r="C20" s="8" t="str">
        <f>IFERROR(_xlfn.XLOOKUP($F$4&amp;"|"&amp;$G$4&amp;"|"&amp;tblModelo[[#This Row],[Disciplinas]],Resumo[Chave],Resumo[Casa]),"")</f>
        <v/>
      </c>
      <c r="D20" s="9" t="str">
        <f>IFERROR(_xlfn.XLOOKUP($F$4&amp;"|"&amp;$G$4&amp;"|"&amp;tblModelo[[#This Row],[Disciplinas]],Resumo[Chave],Resumo[Avaliativa]),"")</f>
        <v/>
      </c>
    </row>
    <row r="21" spans="1:4" ht="57.6" x14ac:dyDescent="0.3">
      <c r="A21" s="13" t="s">
        <v>70</v>
      </c>
      <c r="B21" s="18" t="str">
        <f>IFERROR(_xlfn.XLOOKUP($F$4&amp;"|"&amp;$G$4&amp;"|"&amp;tblModelo[[#This Row],[Disciplinas]],Resumo[Chave],Resumo[Aula]),"")</f>
        <v/>
      </c>
      <c r="C21" s="8" t="str">
        <f>IFERROR(_xlfn.XLOOKUP($F$4&amp;"|"&amp;$G$4&amp;"|"&amp;tblModelo[[#This Row],[Disciplinas]],Resumo[Chave],Resumo[Casa]),"")</f>
        <v/>
      </c>
      <c r="D21" s="9" t="str">
        <f>IFERROR(_xlfn.XLOOKUP($F$4&amp;"|"&amp;$G$4&amp;"|"&amp;tblModelo[[#This Row],[Disciplinas]],Resumo[Chave],Resumo[Avaliativa]),"")</f>
        <v/>
      </c>
    </row>
    <row r="22" spans="1:4" ht="28.8" x14ac:dyDescent="0.3">
      <c r="A22" s="14"/>
      <c r="B22" s="15"/>
      <c r="C22" s="16"/>
    </row>
    <row r="23" spans="1:4" x14ac:dyDescent="0.3">
      <c r="C23" s="16"/>
    </row>
    <row r="24" spans="1:4" x14ac:dyDescent="0.3">
      <c r="C24" s="1"/>
    </row>
  </sheetData>
  <mergeCells count="2">
    <mergeCell ref="A1:D1"/>
    <mergeCell ref="B2:D2"/>
  </mergeCells>
  <printOptions horizontalCentered="1"/>
  <pageMargins left="0.25" right="0.25" top="0.4" bottom="0.4" header="3.937007874015748E-2" footer="3.937007874015748E-2"/>
  <pageSetup paperSize="9" scale="3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3" r:id="rId4" name="Button 19">
              <controlPr defaultSize="0" print="0" autoFill="0" autoPict="0" macro="[0]!GerarPDFs_SemanaAtual_ComSubpasta">
                <anchor moveWithCells="1">
                  <from>
                    <xdr:col>6</xdr:col>
                    <xdr:colOff>1112520</xdr:colOff>
                    <xdr:row>3</xdr:row>
                    <xdr:rowOff>1828800</xdr:rowOff>
                  </from>
                  <to>
                    <xdr:col>8</xdr:col>
                    <xdr:colOff>381000</xdr:colOff>
                    <xdr:row>4</xdr:row>
                    <xdr:rowOff>609600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5" name="Button 26">
              <controlPr defaultSize="0" print="0" autoFill="0" autoPict="0" macro="[0]!GerarPDF_TurmaSemana_Selecionadas">
                <anchor moveWithCells="1">
                  <from>
                    <xdr:col>5</xdr:col>
                    <xdr:colOff>190500</xdr:colOff>
                    <xdr:row>4</xdr:row>
                    <xdr:rowOff>1280160</xdr:rowOff>
                  </from>
                  <to>
                    <xdr:col>6</xdr:col>
                    <xdr:colOff>914400</xdr:colOff>
                    <xdr:row>5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6" name="Button 40">
              <controlPr defaultSize="0" print="0" autoFill="0" autoPict="0" macro="[0]!GerarPDFs_ProximaSemana_ComSubpasta">
                <anchor moveWithCells="1" sizeWithCells="1">
                  <from>
                    <xdr:col>5</xdr:col>
                    <xdr:colOff>45720</xdr:colOff>
                    <xdr:row>3</xdr:row>
                    <xdr:rowOff>1813560</xdr:rowOff>
                  </from>
                  <to>
                    <xdr:col>6</xdr:col>
                    <xdr:colOff>647700</xdr:colOff>
                    <xdr:row>4</xdr:row>
                    <xdr:rowOff>685800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7" name="Button 42">
              <controlPr defaultSize="0" print="0" autoFill="0" autoPict="0" macro="[0]!SelecionarPastaPDFs">
                <anchor moveWithCells="1">
                  <from>
                    <xdr:col>5</xdr:col>
                    <xdr:colOff>121920</xdr:colOff>
                    <xdr:row>0</xdr:row>
                    <xdr:rowOff>403860</xdr:rowOff>
                  </from>
                  <to>
                    <xdr:col>6</xdr:col>
                    <xdr:colOff>1630680</xdr:colOff>
                    <xdr:row>0</xdr:row>
                    <xdr:rowOff>1242060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4B0241F6-02B1-4E98-8EC3-7B00BDD91C78}">
          <x14:formula1>
            <xm:f>padrao!$A$1:$A$33</xm:f>
          </x14:formula1>
          <xm:sqref>F4</xm:sqref>
        </x14:dataValidation>
        <x14:dataValidation type="list" allowBlank="1" showInputMessage="1" showErrorMessage="1" xr:uid="{BD96A41C-AB98-438C-87E4-0D9C3042A126}">
          <x14:formula1>
            <xm:f>padrao!$C$1:$C$47</xm:f>
          </x14:formula1>
          <xm:sqref>G4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50D514-4B64-4A50-A79D-E6B77612582F}">
  <sheetPr codeName="Planilha2"/>
  <dimension ref="A1:J5"/>
  <sheetViews>
    <sheetView zoomScale="115" zoomScaleNormal="115" workbookViewId="0">
      <selection activeCell="B15" sqref="B15"/>
    </sheetView>
  </sheetViews>
  <sheetFormatPr defaultRowHeight="14.4" x14ac:dyDescent="0.3"/>
  <cols>
    <col min="1" max="1" width="9" bestFit="1" customWidth="1"/>
    <col min="2" max="2" width="17.109375" bestFit="1" customWidth="1"/>
    <col min="3" max="3" width="14.6640625" bestFit="1" customWidth="1"/>
    <col min="4" max="4" width="13.21875" bestFit="1" customWidth="1"/>
    <col min="5" max="5" width="23.21875" bestFit="1" customWidth="1"/>
    <col min="6" max="6" width="18.77734375" bestFit="1" customWidth="1"/>
    <col min="7" max="7" width="70.21875" bestFit="1" customWidth="1"/>
    <col min="8" max="8" width="46.88671875" bestFit="1" customWidth="1"/>
    <col min="9" max="9" width="51.77734375" bestFit="1" customWidth="1"/>
    <col min="10" max="10" width="34.44140625" bestFit="1" customWidth="1"/>
  </cols>
  <sheetData>
    <row r="1" spans="1:10" x14ac:dyDescent="0.3">
      <c r="A1" t="s">
        <v>18</v>
      </c>
      <c r="B1" t="s">
        <v>57</v>
      </c>
      <c r="C1" t="s">
        <v>58</v>
      </c>
      <c r="D1" t="s">
        <v>59</v>
      </c>
      <c r="E1" t="s">
        <v>60</v>
      </c>
      <c r="F1" t="s">
        <v>5</v>
      </c>
      <c r="G1" t="s">
        <v>61</v>
      </c>
      <c r="H1" t="s">
        <v>62</v>
      </c>
      <c r="I1" t="s">
        <v>64</v>
      </c>
      <c r="J1" t="s">
        <v>63</v>
      </c>
    </row>
    <row r="2" spans="1:10" x14ac:dyDescent="0.3">
      <c r="A2" t="s">
        <v>24</v>
      </c>
      <c r="B2">
        <v>2</v>
      </c>
      <c r="C2" s="4">
        <v>46027</v>
      </c>
      <c r="D2" s="4">
        <v>46031</v>
      </c>
      <c r="E2" t="s">
        <v>83</v>
      </c>
      <c r="F2" t="s">
        <v>6</v>
      </c>
      <c r="G2" t="s">
        <v>84</v>
      </c>
      <c r="H2" t="s">
        <v>85</v>
      </c>
      <c r="I2" t="str">
        <f>Resumo[[#This Row],[Turma:]] &amp; " | " &amp; Resumo[[#This Row],[TextoSemana]] &amp; " | " &amp; Resumo[[#This Row],[Disciplina:]]</f>
        <v>6º ano A | Semana 2 - 05/jan a 09/jan | Língua Portuguesa</v>
      </c>
      <c r="J2" t="s">
        <v>86</v>
      </c>
    </row>
    <row r="3" spans="1:10" x14ac:dyDescent="0.3">
      <c r="A3" t="s">
        <v>25</v>
      </c>
      <c r="B3">
        <v>2</v>
      </c>
      <c r="C3" s="4">
        <v>46027</v>
      </c>
      <c r="D3" s="4">
        <v>46031</v>
      </c>
      <c r="E3" t="s">
        <v>83</v>
      </c>
      <c r="F3" t="s">
        <v>6</v>
      </c>
      <c r="G3" t="s">
        <v>84</v>
      </c>
      <c r="H3" t="s">
        <v>85</v>
      </c>
      <c r="I3" t="str">
        <f>Resumo[[#This Row],[Turma:]] &amp; " | " &amp; Resumo[[#This Row],[TextoSemana]] &amp; " | " &amp; Resumo[[#This Row],[Disciplina:]]</f>
        <v>6º ano B | Semana 2 - 05/jan a 09/jan | Língua Portuguesa</v>
      </c>
      <c r="J3" t="s">
        <v>86</v>
      </c>
    </row>
    <row r="4" spans="1:10" x14ac:dyDescent="0.3">
      <c r="A4" t="s">
        <v>26</v>
      </c>
      <c r="B4">
        <v>2</v>
      </c>
      <c r="C4" s="4">
        <v>46027</v>
      </c>
      <c r="D4" s="4">
        <v>46031</v>
      </c>
      <c r="E4" t="s">
        <v>83</v>
      </c>
      <c r="F4" t="s">
        <v>6</v>
      </c>
      <c r="G4" t="s">
        <v>84</v>
      </c>
      <c r="H4" t="s">
        <v>85</v>
      </c>
      <c r="I4" t="str">
        <f>Resumo[[#This Row],[Turma:]] &amp; " | " &amp; Resumo[[#This Row],[TextoSemana]] &amp; " | " &amp; Resumo[[#This Row],[Disciplina:]]</f>
        <v>6º ano C | Semana 2 - 05/jan a 09/jan | Língua Portuguesa</v>
      </c>
      <c r="J4" t="s">
        <v>86</v>
      </c>
    </row>
    <row r="5" spans="1:10" x14ac:dyDescent="0.3">
      <c r="A5" t="s">
        <v>26</v>
      </c>
      <c r="B5">
        <v>2</v>
      </c>
      <c r="C5" s="4">
        <v>46027</v>
      </c>
      <c r="D5" s="4">
        <v>46031</v>
      </c>
      <c r="E5" t="s">
        <v>83</v>
      </c>
      <c r="F5" t="s">
        <v>13</v>
      </c>
      <c r="G5" t="s">
        <v>87</v>
      </c>
      <c r="H5" t="s">
        <v>88</v>
      </c>
      <c r="I5" t="str">
        <f>Resumo[[#This Row],[Turma:]] &amp; " | " &amp; Resumo[[#This Row],[TextoSemana]] &amp; " | " &amp; Resumo[[#This Row],[Disciplina:]]</f>
        <v>6º ano C | Semana 2 - 05/jan a 09/jan | Ciências da Natureza</v>
      </c>
      <c r="J5" t="s">
        <v>89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61DC07-2762-4665-9718-EAFD5FD3BB4D}">
  <sheetPr codeName="Planilha3"/>
  <dimension ref="A1:M5"/>
  <sheetViews>
    <sheetView tabSelected="1" zoomScaleNormal="100" workbookViewId="0">
      <selection sqref="A1:M5"/>
    </sheetView>
  </sheetViews>
  <sheetFormatPr defaultRowHeight="14.4" x14ac:dyDescent="0.3"/>
  <cols>
    <col min="1" max="1" width="31.21875" bestFit="1" customWidth="1"/>
    <col min="2" max="2" width="16.77734375" bestFit="1" customWidth="1"/>
    <col min="3" max="3" width="19.44140625" bestFit="1" customWidth="1"/>
    <col min="4" max="4" width="9.109375" bestFit="1" customWidth="1"/>
    <col min="5" max="5" width="72.77734375" bestFit="1" customWidth="1"/>
    <col min="6" max="6" width="49.109375" bestFit="1" customWidth="1"/>
    <col min="7" max="7" width="36.109375" bestFit="1" customWidth="1"/>
    <col min="8" max="8" width="21" bestFit="1" customWidth="1"/>
    <col min="9" max="9" width="5.109375" bestFit="1" customWidth="1"/>
    <col min="10" max="10" width="17.33203125" bestFit="1" customWidth="1"/>
    <col min="11" max="11" width="15.109375" style="4" bestFit="1" customWidth="1"/>
    <col min="12" max="12" width="13.33203125" style="4" bestFit="1" customWidth="1"/>
    <col min="13" max="13" width="24" bestFit="1" customWidth="1"/>
  </cols>
  <sheetData>
    <row r="1" spans="1:13" x14ac:dyDescent="0.3">
      <c r="A1" t="s">
        <v>16</v>
      </c>
      <c r="B1" t="s">
        <v>17</v>
      </c>
      <c r="C1" t="s">
        <v>5</v>
      </c>
      <c r="D1" t="s">
        <v>18</v>
      </c>
      <c r="E1" t="s">
        <v>19</v>
      </c>
      <c r="F1" t="s">
        <v>20</v>
      </c>
      <c r="G1" t="s">
        <v>21</v>
      </c>
      <c r="H1" t="s">
        <v>22</v>
      </c>
      <c r="I1" t="s">
        <v>23</v>
      </c>
      <c r="J1" t="s">
        <v>57</v>
      </c>
      <c r="K1" s="4" t="s">
        <v>58</v>
      </c>
      <c r="L1" s="4" t="s">
        <v>59</v>
      </c>
      <c r="M1" t="s">
        <v>60</v>
      </c>
    </row>
    <row r="2" spans="1:13" x14ac:dyDescent="0.3">
      <c r="A2" t="s">
        <v>90</v>
      </c>
      <c r="B2" t="s">
        <v>91</v>
      </c>
      <c r="C2" t="s">
        <v>6</v>
      </c>
      <c r="D2" t="s">
        <v>24</v>
      </c>
      <c r="E2" t="s">
        <v>84</v>
      </c>
      <c r="F2" t="s">
        <v>85</v>
      </c>
      <c r="G2" t="s">
        <v>86</v>
      </c>
      <c r="H2" t="s">
        <v>92</v>
      </c>
      <c r="I2">
        <v>43</v>
      </c>
      <c r="J2">
        <v>2</v>
      </c>
      <c r="K2" s="4">
        <v>46027</v>
      </c>
      <c r="L2" s="4">
        <v>46031</v>
      </c>
      <c r="M2" t="s">
        <v>83</v>
      </c>
    </row>
    <row r="3" spans="1:13" x14ac:dyDescent="0.3">
      <c r="A3" t="s">
        <v>90</v>
      </c>
      <c r="B3" t="s">
        <v>91</v>
      </c>
      <c r="C3" t="s">
        <v>6</v>
      </c>
      <c r="D3" t="s">
        <v>25</v>
      </c>
      <c r="E3" t="s">
        <v>84</v>
      </c>
      <c r="F3" t="s">
        <v>85</v>
      </c>
      <c r="G3" t="s">
        <v>86</v>
      </c>
      <c r="H3" t="s">
        <v>92</v>
      </c>
      <c r="I3">
        <v>43</v>
      </c>
      <c r="J3">
        <v>2</v>
      </c>
      <c r="K3" s="4">
        <v>46027</v>
      </c>
      <c r="L3" s="4">
        <v>46031</v>
      </c>
      <c r="M3" t="s">
        <v>83</v>
      </c>
    </row>
    <row r="4" spans="1:13" x14ac:dyDescent="0.3">
      <c r="A4" t="s">
        <v>90</v>
      </c>
      <c r="B4" t="s">
        <v>91</v>
      </c>
      <c r="C4" t="s">
        <v>6</v>
      </c>
      <c r="D4" t="s">
        <v>26</v>
      </c>
      <c r="E4" t="s">
        <v>84</v>
      </c>
      <c r="F4" t="s">
        <v>85</v>
      </c>
      <c r="G4" t="s">
        <v>86</v>
      </c>
      <c r="H4" t="s">
        <v>92</v>
      </c>
      <c r="I4">
        <v>43</v>
      </c>
      <c r="J4">
        <v>2</v>
      </c>
      <c r="K4" s="4">
        <v>46027</v>
      </c>
      <c r="L4" s="4">
        <v>46031</v>
      </c>
      <c r="M4" t="s">
        <v>83</v>
      </c>
    </row>
    <row r="5" spans="1:13" x14ac:dyDescent="0.3">
      <c r="A5" t="s">
        <v>93</v>
      </c>
      <c r="B5" t="s">
        <v>94</v>
      </c>
      <c r="C5" t="s">
        <v>13</v>
      </c>
      <c r="D5" t="s">
        <v>26</v>
      </c>
      <c r="E5" t="s">
        <v>87</v>
      </c>
      <c r="F5" t="s">
        <v>88</v>
      </c>
      <c r="G5" t="s">
        <v>89</v>
      </c>
      <c r="H5" t="s">
        <v>92</v>
      </c>
      <c r="I5">
        <v>44</v>
      </c>
      <c r="J5">
        <v>2</v>
      </c>
      <c r="K5" s="4">
        <v>46027</v>
      </c>
      <c r="L5" s="4">
        <v>46031</v>
      </c>
      <c r="M5" t="s">
        <v>83</v>
      </c>
    </row>
  </sheetData>
  <phoneticPr fontId="5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6AA7F2-5A0A-4171-A8A2-8B44028DEFEC}">
  <sheetPr codeName="Planilha4"/>
  <dimension ref="A1:K92"/>
  <sheetViews>
    <sheetView topLeftCell="A13" zoomScale="85" zoomScaleNormal="85" workbookViewId="0">
      <selection activeCell="E2" sqref="E2"/>
    </sheetView>
  </sheetViews>
  <sheetFormatPr defaultRowHeight="14.4" x14ac:dyDescent="0.3"/>
  <cols>
    <col min="1" max="1" width="17.6640625" bestFit="1" customWidth="1"/>
    <col min="3" max="3" width="22.6640625" bestFit="1" customWidth="1"/>
    <col min="5" max="5" width="26.6640625" bestFit="1" customWidth="1"/>
    <col min="7" max="7" width="17.33203125" customWidth="1"/>
    <col min="8" max="8" width="23.88671875" bestFit="1" customWidth="1"/>
    <col min="10" max="10" width="13.88671875" bestFit="1" customWidth="1"/>
    <col min="11" max="11" width="75.33203125" bestFit="1" customWidth="1"/>
  </cols>
  <sheetData>
    <row r="1" spans="1:11" x14ac:dyDescent="0.3">
      <c r="A1" t="s">
        <v>72</v>
      </c>
      <c r="C1" t="s">
        <v>71</v>
      </c>
      <c r="G1" t="s">
        <v>72</v>
      </c>
      <c r="H1" t="s">
        <v>71</v>
      </c>
      <c r="J1" t="s">
        <v>64</v>
      </c>
      <c r="K1" t="s">
        <v>80</v>
      </c>
    </row>
    <row r="2" spans="1:11" x14ac:dyDescent="0.3">
      <c r="A2" t="str" cm="1">
        <f t="array" ref="A2:A4">_xlfn._xlws.SORT(_xlfn.UNIQUE(Resumo[Turma:]))</f>
        <v>6º ano A</v>
      </c>
      <c r="C2" t="str" cm="1">
        <f t="array" ref="C2">_xlfn._xlws.SORT(_xlfn.UNIQUE(Resumo[TextoSemana]))</f>
        <v>Semana 2 - 05/jan a 09/jan</v>
      </c>
      <c r="E2" t="s">
        <v>0</v>
      </c>
      <c r="G2" t="str">
        <f>padrao!A2</f>
        <v>6º ano A</v>
      </c>
      <c r="H2" t="str">
        <f>padrao!C2</f>
        <v>Semana 2 - 05/jan a 09/jan</v>
      </c>
      <c r="J2" t="s">
        <v>81</v>
      </c>
      <c r="K2" t="s">
        <v>82</v>
      </c>
    </row>
    <row r="3" spans="1:11" x14ac:dyDescent="0.3">
      <c r="A3" t="str">
        <v>6º ano B</v>
      </c>
      <c r="E3" s="5" t="s">
        <v>15</v>
      </c>
      <c r="G3" t="str">
        <f>padrao!A3</f>
        <v>6º ano B</v>
      </c>
      <c r="H3">
        <f>padrao!C3</f>
        <v>0</v>
      </c>
    </row>
    <row r="4" spans="1:11" x14ac:dyDescent="0.3">
      <c r="A4" t="str">
        <v>6º ano C</v>
      </c>
      <c r="E4" s="5" t="s">
        <v>6</v>
      </c>
      <c r="G4" t="str">
        <f>padrao!A4</f>
        <v>6º ano C</v>
      </c>
      <c r="H4">
        <f>padrao!C4</f>
        <v>0</v>
      </c>
    </row>
    <row r="5" spans="1:11" x14ac:dyDescent="0.3">
      <c r="E5" s="5" t="s">
        <v>7</v>
      </c>
      <c r="G5">
        <f>padrao!A5</f>
        <v>0</v>
      </c>
      <c r="H5">
        <f>padrao!C5</f>
        <v>0</v>
      </c>
    </row>
    <row r="6" spans="1:11" x14ac:dyDescent="0.3">
      <c r="E6" s="5" t="s">
        <v>8</v>
      </c>
      <c r="G6">
        <f>padrao!A6</f>
        <v>0</v>
      </c>
      <c r="H6">
        <f>padrao!C6</f>
        <v>0</v>
      </c>
    </row>
    <row r="7" spans="1:11" x14ac:dyDescent="0.3">
      <c r="E7" s="5" t="s">
        <v>9</v>
      </c>
      <c r="G7">
        <f>padrao!A7</f>
        <v>0</v>
      </c>
      <c r="H7">
        <f>padrao!C7</f>
        <v>0</v>
      </c>
    </row>
    <row r="8" spans="1:11" x14ac:dyDescent="0.3">
      <c r="E8" s="5" t="s">
        <v>10</v>
      </c>
      <c r="G8">
        <f>padrao!A8</f>
        <v>0</v>
      </c>
      <c r="H8">
        <f>padrao!C8</f>
        <v>0</v>
      </c>
    </row>
    <row r="9" spans="1:11" x14ac:dyDescent="0.3">
      <c r="E9" s="5" t="s">
        <v>11</v>
      </c>
      <c r="G9">
        <f>padrao!A9</f>
        <v>0</v>
      </c>
      <c r="H9">
        <f>padrao!C9</f>
        <v>0</v>
      </c>
    </row>
    <row r="10" spans="1:11" x14ac:dyDescent="0.3">
      <c r="E10" s="5" t="s">
        <v>12</v>
      </c>
      <c r="G10">
        <f>padrao!A10</f>
        <v>0</v>
      </c>
      <c r="H10">
        <f>padrao!C10</f>
        <v>0</v>
      </c>
    </row>
    <row r="11" spans="1:11" x14ac:dyDescent="0.3">
      <c r="E11" s="5" t="s">
        <v>13</v>
      </c>
      <c r="G11">
        <f>padrao!A11</f>
        <v>0</v>
      </c>
      <c r="H11">
        <f>padrao!C11</f>
        <v>0</v>
      </c>
    </row>
    <row r="12" spans="1:11" x14ac:dyDescent="0.3">
      <c r="E12" s="5" t="s">
        <v>14</v>
      </c>
      <c r="G12">
        <f>padrao!A12</f>
        <v>0</v>
      </c>
      <c r="H12">
        <f>padrao!C12</f>
        <v>0</v>
      </c>
    </row>
    <row r="13" spans="1:11" x14ac:dyDescent="0.3">
      <c r="E13" s="5" t="s">
        <v>65</v>
      </c>
      <c r="G13">
        <f>padrao!A13</f>
        <v>0</v>
      </c>
      <c r="H13">
        <f>padrao!C13</f>
        <v>0</v>
      </c>
    </row>
    <row r="14" spans="1:11" x14ac:dyDescent="0.3">
      <c r="E14" s="5" t="s">
        <v>66</v>
      </c>
      <c r="G14">
        <f>padrao!A14</f>
        <v>0</v>
      </c>
      <c r="H14">
        <f>padrao!C14</f>
        <v>0</v>
      </c>
    </row>
    <row r="15" spans="1:11" x14ac:dyDescent="0.3">
      <c r="E15" s="5" t="s">
        <v>67</v>
      </c>
      <c r="G15">
        <f>padrao!A15</f>
        <v>0</v>
      </c>
      <c r="H15">
        <f>padrao!C15</f>
        <v>0</v>
      </c>
    </row>
    <row r="16" spans="1:11" x14ac:dyDescent="0.3">
      <c r="E16" s="5" t="s">
        <v>68</v>
      </c>
      <c r="G16">
        <f>padrao!A16</f>
        <v>0</v>
      </c>
      <c r="H16">
        <f>padrao!C16</f>
        <v>0</v>
      </c>
    </row>
    <row r="17" spans="5:8" x14ac:dyDescent="0.3">
      <c r="E17" s="5" t="s">
        <v>69</v>
      </c>
      <c r="G17">
        <f>padrao!A17</f>
        <v>0</v>
      </c>
      <c r="H17">
        <f>padrao!C17</f>
        <v>0</v>
      </c>
    </row>
    <row r="18" spans="5:8" x14ac:dyDescent="0.3">
      <c r="E18" s="5" t="s">
        <v>32</v>
      </c>
      <c r="G18">
        <f>padrao!A18</f>
        <v>0</v>
      </c>
      <c r="H18">
        <f>padrao!C18</f>
        <v>0</v>
      </c>
    </row>
    <row r="19" spans="5:8" x14ac:dyDescent="0.3">
      <c r="E19" s="5" t="s">
        <v>70</v>
      </c>
      <c r="G19">
        <f>padrao!A19</f>
        <v>0</v>
      </c>
      <c r="H19">
        <f>padrao!C19</f>
        <v>0</v>
      </c>
    </row>
    <row r="20" spans="5:8" x14ac:dyDescent="0.3">
      <c r="G20">
        <f>padrao!A20</f>
        <v>0</v>
      </c>
      <c r="H20">
        <f>padrao!C20</f>
        <v>0</v>
      </c>
    </row>
    <row r="21" spans="5:8" x14ac:dyDescent="0.3">
      <c r="G21">
        <f>padrao!A21</f>
        <v>0</v>
      </c>
      <c r="H21">
        <f>padrao!C21</f>
        <v>0</v>
      </c>
    </row>
    <row r="22" spans="5:8" x14ac:dyDescent="0.3">
      <c r="E22" t="s">
        <v>0</v>
      </c>
      <c r="G22">
        <f>padrao!A22</f>
        <v>0</v>
      </c>
      <c r="H22">
        <f>padrao!C22</f>
        <v>0</v>
      </c>
    </row>
    <row r="23" spans="5:8" x14ac:dyDescent="0.3">
      <c r="E23" s="5" t="s">
        <v>15</v>
      </c>
      <c r="G23">
        <f>padrao!A23</f>
        <v>0</v>
      </c>
      <c r="H23">
        <f>padrao!C23</f>
        <v>0</v>
      </c>
    </row>
    <row r="24" spans="5:8" x14ac:dyDescent="0.3">
      <c r="E24" s="5" t="s">
        <v>6</v>
      </c>
      <c r="G24">
        <f>padrao!A24</f>
        <v>0</v>
      </c>
      <c r="H24">
        <f>padrao!C24</f>
        <v>0</v>
      </c>
    </row>
    <row r="25" spans="5:8" x14ac:dyDescent="0.3">
      <c r="E25" s="5" t="s">
        <v>7</v>
      </c>
      <c r="G25">
        <f>padrao!A25</f>
        <v>0</v>
      </c>
      <c r="H25">
        <f>padrao!C25</f>
        <v>0</v>
      </c>
    </row>
    <row r="26" spans="5:8" x14ac:dyDescent="0.3">
      <c r="E26" s="5" t="s">
        <v>8</v>
      </c>
      <c r="G26">
        <f>padrao!A26</f>
        <v>0</v>
      </c>
      <c r="H26">
        <f>padrao!C26</f>
        <v>0</v>
      </c>
    </row>
    <row r="27" spans="5:8" x14ac:dyDescent="0.3">
      <c r="E27" s="5" t="s">
        <v>9</v>
      </c>
      <c r="G27">
        <f>padrao!A27</f>
        <v>0</v>
      </c>
      <c r="H27">
        <f>padrao!C27</f>
        <v>0</v>
      </c>
    </row>
    <row r="28" spans="5:8" x14ac:dyDescent="0.3">
      <c r="E28" s="5" t="s">
        <v>10</v>
      </c>
      <c r="G28">
        <f>padrao!A28</f>
        <v>0</v>
      </c>
      <c r="H28">
        <f>padrao!C28</f>
        <v>0</v>
      </c>
    </row>
    <row r="29" spans="5:8" x14ac:dyDescent="0.3">
      <c r="E29" s="5" t="s">
        <v>11</v>
      </c>
      <c r="G29">
        <f>padrao!A29</f>
        <v>0</v>
      </c>
      <c r="H29">
        <f>padrao!C29</f>
        <v>0</v>
      </c>
    </row>
    <row r="30" spans="5:8" x14ac:dyDescent="0.3">
      <c r="E30" s="5" t="s">
        <v>12</v>
      </c>
      <c r="G30">
        <f>padrao!A30</f>
        <v>0</v>
      </c>
      <c r="H30">
        <f>padrao!C30</f>
        <v>0</v>
      </c>
    </row>
    <row r="31" spans="5:8" x14ac:dyDescent="0.3">
      <c r="E31" s="5" t="s">
        <v>13</v>
      </c>
      <c r="G31">
        <f>padrao!A31</f>
        <v>0</v>
      </c>
      <c r="H31">
        <f>padrao!C31</f>
        <v>0</v>
      </c>
    </row>
    <row r="32" spans="5:8" x14ac:dyDescent="0.3">
      <c r="E32" s="5" t="s">
        <v>14</v>
      </c>
      <c r="G32">
        <f>padrao!A32</f>
        <v>0</v>
      </c>
      <c r="H32">
        <f>padrao!C32</f>
        <v>0</v>
      </c>
    </row>
    <row r="33" spans="5:8" x14ac:dyDescent="0.3">
      <c r="E33" s="5"/>
      <c r="G33">
        <f>padrao!A33</f>
        <v>0</v>
      </c>
      <c r="H33">
        <f>padrao!C33</f>
        <v>0</v>
      </c>
    </row>
    <row r="34" spans="5:8" x14ac:dyDescent="0.3">
      <c r="E34" s="5"/>
      <c r="H34">
        <f>padrao!C34</f>
        <v>0</v>
      </c>
    </row>
    <row r="35" spans="5:8" x14ac:dyDescent="0.3">
      <c r="E35" t="s">
        <v>73</v>
      </c>
      <c r="H35">
        <f>padrao!C35</f>
        <v>0</v>
      </c>
    </row>
    <row r="36" spans="5:8" x14ac:dyDescent="0.3">
      <c r="E36" s="5" t="s">
        <v>15</v>
      </c>
      <c r="H36">
        <f>padrao!C36</f>
        <v>0</v>
      </c>
    </row>
    <row r="37" spans="5:8" x14ac:dyDescent="0.3">
      <c r="E37" s="5" t="s">
        <v>6</v>
      </c>
      <c r="H37">
        <f>padrao!C37</f>
        <v>0</v>
      </c>
    </row>
    <row r="38" spans="5:8" x14ac:dyDescent="0.3">
      <c r="E38" s="5" t="s">
        <v>7</v>
      </c>
      <c r="H38">
        <f>padrao!C38</f>
        <v>0</v>
      </c>
    </row>
    <row r="39" spans="5:8" x14ac:dyDescent="0.3">
      <c r="E39" s="5" t="s">
        <v>8</v>
      </c>
      <c r="H39">
        <f>padrao!C39</f>
        <v>0</v>
      </c>
    </row>
    <row r="40" spans="5:8" x14ac:dyDescent="0.3">
      <c r="E40" s="5" t="s">
        <v>9</v>
      </c>
      <c r="H40">
        <f>padrao!C40</f>
        <v>0</v>
      </c>
    </row>
    <row r="41" spans="5:8" x14ac:dyDescent="0.3">
      <c r="E41" s="5" t="s">
        <v>10</v>
      </c>
      <c r="H41">
        <f>padrao!C41</f>
        <v>0</v>
      </c>
    </row>
    <row r="42" spans="5:8" x14ac:dyDescent="0.3">
      <c r="E42" s="5" t="s">
        <v>11</v>
      </c>
      <c r="H42">
        <f>padrao!C42</f>
        <v>0</v>
      </c>
    </row>
    <row r="43" spans="5:8" x14ac:dyDescent="0.3">
      <c r="E43" s="5" t="s">
        <v>12</v>
      </c>
      <c r="H43">
        <f>padrao!C43</f>
        <v>0</v>
      </c>
    </row>
    <row r="44" spans="5:8" x14ac:dyDescent="0.3">
      <c r="E44" s="5" t="s">
        <v>65</v>
      </c>
      <c r="H44">
        <f>padrao!C44</f>
        <v>0</v>
      </c>
    </row>
    <row r="45" spans="5:8" x14ac:dyDescent="0.3">
      <c r="E45" s="5" t="s">
        <v>66</v>
      </c>
      <c r="H45">
        <f>padrao!C45</f>
        <v>0</v>
      </c>
    </row>
    <row r="46" spans="5:8" x14ac:dyDescent="0.3">
      <c r="E46" s="5" t="s">
        <v>67</v>
      </c>
      <c r="H46">
        <f>padrao!C46</f>
        <v>0</v>
      </c>
    </row>
    <row r="47" spans="5:8" x14ac:dyDescent="0.3">
      <c r="E47" s="5" t="s">
        <v>68</v>
      </c>
      <c r="H47">
        <f>padrao!C47</f>
        <v>0</v>
      </c>
    </row>
    <row r="48" spans="5:8" x14ac:dyDescent="0.3">
      <c r="E48" s="5" t="s">
        <v>69</v>
      </c>
      <c r="H48">
        <f>padrao!C48</f>
        <v>0</v>
      </c>
    </row>
    <row r="49" spans="5:8" x14ac:dyDescent="0.3">
      <c r="E49" s="5" t="s">
        <v>32</v>
      </c>
      <c r="H49">
        <f>padrao!C49</f>
        <v>0</v>
      </c>
    </row>
    <row r="50" spans="5:8" x14ac:dyDescent="0.3">
      <c r="E50" s="5" t="s">
        <v>70</v>
      </c>
      <c r="H50">
        <f>padrao!C50</f>
        <v>0</v>
      </c>
    </row>
    <row r="51" spans="5:8" x14ac:dyDescent="0.3">
      <c r="E51" s="5"/>
      <c r="H51">
        <f>padrao!C51</f>
        <v>0</v>
      </c>
    </row>
    <row r="52" spans="5:8" x14ac:dyDescent="0.3">
      <c r="E52" s="5"/>
      <c r="H52">
        <f>padrao!C52</f>
        <v>0</v>
      </c>
    </row>
    <row r="53" spans="5:8" x14ac:dyDescent="0.3">
      <c r="H53">
        <f>padrao!C53</f>
        <v>0</v>
      </c>
    </row>
    <row r="54" spans="5:8" x14ac:dyDescent="0.3">
      <c r="E54" t="s">
        <v>0</v>
      </c>
    </row>
    <row r="55" spans="5:8" x14ac:dyDescent="0.3">
      <c r="E55" s="5" t="s">
        <v>6</v>
      </c>
    </row>
    <row r="56" spans="5:8" x14ac:dyDescent="0.3">
      <c r="E56" s="5" t="s">
        <v>7</v>
      </c>
    </row>
    <row r="57" spans="5:8" x14ac:dyDescent="0.3">
      <c r="E57" s="5" t="s">
        <v>8</v>
      </c>
    </row>
    <row r="58" spans="5:8" x14ac:dyDescent="0.3">
      <c r="E58" s="5" t="s">
        <v>9</v>
      </c>
    </row>
    <row r="59" spans="5:8" x14ac:dyDescent="0.3">
      <c r="E59" s="5" t="s">
        <v>10</v>
      </c>
    </row>
    <row r="60" spans="5:8" x14ac:dyDescent="0.3">
      <c r="E60" s="5" t="s">
        <v>11</v>
      </c>
      <c r="G60" t="s">
        <v>75</v>
      </c>
      <c r="H60" t="s">
        <v>76</v>
      </c>
    </row>
    <row r="61" spans="5:8" x14ac:dyDescent="0.3">
      <c r="E61" s="5" t="s">
        <v>12</v>
      </c>
      <c r="G61" t="s">
        <v>24</v>
      </c>
      <c r="H61" t="s">
        <v>77</v>
      </c>
    </row>
    <row r="62" spans="5:8" x14ac:dyDescent="0.3">
      <c r="E62" s="5" t="s">
        <v>65</v>
      </c>
      <c r="G62" t="s">
        <v>25</v>
      </c>
      <c r="H62" t="s">
        <v>77</v>
      </c>
    </row>
    <row r="63" spans="5:8" x14ac:dyDescent="0.3">
      <c r="E63" s="5" t="s">
        <v>66</v>
      </c>
      <c r="G63" t="s">
        <v>26</v>
      </c>
      <c r="H63" t="s">
        <v>77</v>
      </c>
    </row>
    <row r="64" spans="5:8" x14ac:dyDescent="0.3">
      <c r="E64" s="5" t="s">
        <v>67</v>
      </c>
      <c r="G64" t="s">
        <v>27</v>
      </c>
      <c r="H64" t="s">
        <v>77</v>
      </c>
    </row>
    <row r="65" spans="5:8" x14ac:dyDescent="0.3">
      <c r="E65" s="5" t="s">
        <v>68</v>
      </c>
      <c r="G65" t="s">
        <v>28</v>
      </c>
      <c r="H65" t="s">
        <v>77</v>
      </c>
    </row>
    <row r="66" spans="5:8" x14ac:dyDescent="0.3">
      <c r="E66" s="5" t="s">
        <v>69</v>
      </c>
      <c r="G66" t="s">
        <v>29</v>
      </c>
      <c r="H66" t="s">
        <v>77</v>
      </c>
    </row>
    <row r="67" spans="5:8" x14ac:dyDescent="0.3">
      <c r="E67" s="5"/>
      <c r="G67" t="s">
        <v>31</v>
      </c>
      <c r="H67" t="s">
        <v>77</v>
      </c>
    </row>
    <row r="68" spans="5:8" x14ac:dyDescent="0.3">
      <c r="E68" s="5"/>
      <c r="G68" t="s">
        <v>30</v>
      </c>
      <c r="H68" t="s">
        <v>77</v>
      </c>
    </row>
    <row r="69" spans="5:8" x14ac:dyDescent="0.3">
      <c r="E69" s="5"/>
      <c r="G69" t="s">
        <v>38</v>
      </c>
      <c r="H69" t="s">
        <v>77</v>
      </c>
    </row>
    <row r="70" spans="5:8" x14ac:dyDescent="0.3">
      <c r="E70" s="5"/>
      <c r="G70" t="s">
        <v>39</v>
      </c>
      <c r="H70" t="s">
        <v>77</v>
      </c>
    </row>
    <row r="71" spans="5:8" x14ac:dyDescent="0.3">
      <c r="E71" s="5"/>
      <c r="G71" t="s">
        <v>40</v>
      </c>
      <c r="H71" t="s">
        <v>77</v>
      </c>
    </row>
    <row r="72" spans="5:8" x14ac:dyDescent="0.3">
      <c r="G72" t="s">
        <v>41</v>
      </c>
      <c r="H72" t="s">
        <v>77</v>
      </c>
    </row>
    <row r="73" spans="5:8" x14ac:dyDescent="0.3">
      <c r="E73" t="s">
        <v>0</v>
      </c>
      <c r="G73" t="s">
        <v>42</v>
      </c>
      <c r="H73" t="s">
        <v>77</v>
      </c>
    </row>
    <row r="74" spans="5:8" x14ac:dyDescent="0.3">
      <c r="E74" s="5" t="s">
        <v>6</v>
      </c>
      <c r="G74" t="s">
        <v>43</v>
      </c>
      <c r="H74" t="s">
        <v>77</v>
      </c>
    </row>
    <row r="75" spans="5:8" x14ac:dyDescent="0.3">
      <c r="E75" s="5" t="s">
        <v>7</v>
      </c>
      <c r="G75" t="s">
        <v>44</v>
      </c>
      <c r="H75" t="s">
        <v>77</v>
      </c>
    </row>
    <row r="76" spans="5:8" x14ac:dyDescent="0.3">
      <c r="E76" s="5" t="s">
        <v>10</v>
      </c>
      <c r="G76" t="s">
        <v>45</v>
      </c>
      <c r="H76" t="s">
        <v>77</v>
      </c>
    </row>
    <row r="77" spans="5:8" x14ac:dyDescent="0.3">
      <c r="E77" s="5" t="s">
        <v>11</v>
      </c>
      <c r="G77" t="s">
        <v>46</v>
      </c>
      <c r="H77" t="s">
        <v>77</v>
      </c>
    </row>
    <row r="78" spans="5:8" x14ac:dyDescent="0.3">
      <c r="E78" s="5" t="s">
        <v>12</v>
      </c>
      <c r="G78" t="s">
        <v>33</v>
      </c>
      <c r="H78" t="s">
        <v>78</v>
      </c>
    </row>
    <row r="79" spans="5:8" x14ac:dyDescent="0.3">
      <c r="E79" s="5" t="s">
        <v>65</v>
      </c>
      <c r="G79" t="s">
        <v>34</v>
      </c>
      <c r="H79" t="s">
        <v>78</v>
      </c>
    </row>
    <row r="80" spans="5:8" x14ac:dyDescent="0.3">
      <c r="E80" s="5" t="s">
        <v>66</v>
      </c>
      <c r="G80" t="s">
        <v>35</v>
      </c>
      <c r="H80" t="s">
        <v>78</v>
      </c>
    </row>
    <row r="81" spans="5:8" x14ac:dyDescent="0.3">
      <c r="E81" s="5" t="s">
        <v>67</v>
      </c>
      <c r="G81" t="s">
        <v>36</v>
      </c>
      <c r="H81" t="s">
        <v>78</v>
      </c>
    </row>
    <row r="82" spans="5:8" x14ac:dyDescent="0.3">
      <c r="E82" s="5"/>
      <c r="G82" t="s">
        <v>37</v>
      </c>
      <c r="H82" t="s">
        <v>78</v>
      </c>
    </row>
    <row r="83" spans="5:8" x14ac:dyDescent="0.3">
      <c r="E83" s="5"/>
      <c r="G83" t="s">
        <v>47</v>
      </c>
      <c r="H83" t="s">
        <v>74</v>
      </c>
    </row>
    <row r="84" spans="5:8" x14ac:dyDescent="0.3">
      <c r="E84" s="5"/>
      <c r="G84" t="s">
        <v>48</v>
      </c>
      <c r="H84" t="s">
        <v>74</v>
      </c>
    </row>
    <row r="85" spans="5:8" x14ac:dyDescent="0.3">
      <c r="E85" s="5"/>
      <c r="G85" t="s">
        <v>49</v>
      </c>
      <c r="H85" t="s">
        <v>74</v>
      </c>
    </row>
    <row r="86" spans="5:8" x14ac:dyDescent="0.3">
      <c r="E86" s="5"/>
      <c r="G86" t="s">
        <v>50</v>
      </c>
      <c r="H86" t="s">
        <v>74</v>
      </c>
    </row>
    <row r="87" spans="5:8" x14ac:dyDescent="0.3">
      <c r="E87" s="5"/>
      <c r="G87" t="s">
        <v>51</v>
      </c>
      <c r="H87" t="s">
        <v>74</v>
      </c>
    </row>
    <row r="88" spans="5:8" x14ac:dyDescent="0.3">
      <c r="E88" s="5"/>
      <c r="G88" t="s">
        <v>52</v>
      </c>
      <c r="H88" t="s">
        <v>79</v>
      </c>
    </row>
    <row r="89" spans="5:8" x14ac:dyDescent="0.3">
      <c r="E89" s="5"/>
      <c r="G89" t="s">
        <v>53</v>
      </c>
      <c r="H89" t="s">
        <v>79</v>
      </c>
    </row>
    <row r="90" spans="5:8" x14ac:dyDescent="0.3">
      <c r="E90" s="5"/>
      <c r="G90" t="s">
        <v>54</v>
      </c>
      <c r="H90" t="s">
        <v>79</v>
      </c>
    </row>
    <row r="91" spans="5:8" x14ac:dyDescent="0.3">
      <c r="G91" t="s">
        <v>55</v>
      </c>
      <c r="H91" t="s">
        <v>79</v>
      </c>
    </row>
    <row r="92" spans="5:8" x14ac:dyDescent="0.3">
      <c r="G92" t="s">
        <v>56</v>
      </c>
      <c r="H92" t="s">
        <v>79</v>
      </c>
    </row>
  </sheetData>
  <pageMargins left="0.511811024" right="0.511811024" top="0.78740157499999996" bottom="0.78740157499999996" header="0.31496062000000002" footer="0.31496062000000002"/>
  <tableParts count="9">
    <tablePart r:id="rId1"/>
    <tablePart r:id="rId2"/>
    <tablePart r:id="rId3"/>
    <tablePart r:id="rId4"/>
    <tablePart r:id="rId5"/>
    <tablePart r:id="rId6"/>
    <tablePart r:id="rId7"/>
    <tablePart r:id="rId8"/>
    <tablePart r:id="rId9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ermino xmlns="ddb61399-3db0-4cf3-b594-9ebb66c3c7ac" xsi:nil="true"/>
    <Turma xmlns="ddb61399-3db0-4cf3-b594-9ebb66c3c7ac">6 ano A</Turma>
    <Inicio_x0020_ xmlns="ddb61399-3db0-4cf3-b594-9ebb66c3c7ac">2026-03-05T03:00:00+00:00</Inicio_x0020_>
    <Professor xmlns="ddb61399-3db0-4cf3-b594-9ebb66c3c7ac">
      <UserInfo xmlns="ddb61399-3db0-4cf3-b594-9ebb66c3c7ac">
        <DisplayName xmlns="ddb61399-3db0-4cf3-b594-9ebb66c3c7ac">Breno Malta Silva</DisplayName>
        <AccountId xmlns="ddb61399-3db0-4cf3-b594-9ebb66c3c7ac">4</AccountId>
        <AccountType xmlns="ddb61399-3db0-4cf3-b594-9ebb66c3c7ac"/>
      </UserInfo>
    </Professor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53A6C2AD9A0C9D44A3C3F258687BCE4A" ma:contentTypeVersion="7" ma:contentTypeDescription="Crie um novo documento." ma:contentTypeScope="" ma:versionID="79dcfc2b42ef2999bd6a0e807f159b2d">
  <xsd:schema xmlns:xsd="http://www.w3.org/2001/XMLSchema" xmlns:xs="http://www.w3.org/2001/XMLSchema" xmlns:p="http://schemas.microsoft.com/office/2006/metadata/properties" xmlns:ns2="ddb61399-3db0-4cf3-b594-9ebb66c3c7ac" targetNamespace="http://schemas.microsoft.com/office/2006/metadata/properties" ma:root="true" ma:fieldsID="fa491a3c108730d2fe645d2e3cefa690" ns2:_="">
    <xsd:import namespace="ddb61399-3db0-4cf3-b594-9ebb66c3c7ac"/>
    <xsd:element name="properties">
      <xsd:complexType>
        <xsd:sequence>
          <xsd:element name="documentManagement">
            <xsd:complexType>
              <xsd:all>
                <xsd:element ref="ns2:Professor"/>
                <xsd:element ref="ns2:Turma"/>
                <xsd:element ref="ns2:Inicio_x0020_"/>
                <xsd:element ref="ns2:Termino" minOccurs="0"/>
                <xsd:element ref="ns2:MediaServiceMetadata" minOccurs="0"/>
                <xsd:element ref="ns2:MediaServiceFastMetadata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db61399-3db0-4cf3-b594-9ebb66c3c7ac" elementFormDefault="qualified">
    <xsd:import namespace="http://schemas.microsoft.com/office/2006/documentManagement/types"/>
    <xsd:import namespace="http://schemas.microsoft.com/office/infopath/2007/PartnerControls"/>
    <xsd:element name="Professor" ma:index="8" ma:displayName="Professor" ma:list="UserInfo" ma:SharePointGroup="0" ma:internalName="Professor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Turma" ma:index="9" ma:displayName="Turma" ma:format="Dropdown" ma:internalName="Turma">
      <xsd:simpleType>
        <xsd:restriction base="dms:Choice">
          <xsd:enumeration value="6 ano A"/>
          <xsd:enumeration value="6 ano B"/>
          <xsd:enumeration value="Escolha 3"/>
        </xsd:restriction>
      </xsd:simpleType>
    </xsd:element>
    <xsd:element name="Inicio_x0020_" ma:index="10" ma:displayName="Inicio " ma:format="DateOnly" ma:internalName="Inicio_x0020_">
      <xsd:simpleType>
        <xsd:restriction base="dms:DateTime"/>
      </xsd:simpleType>
    </xsd:element>
    <xsd:element name="Termino" ma:index="11" nillable="true" ma:displayName="Termino" ma:format="DateTime" ma:internalName="Termino">
      <xsd:simpleType>
        <xsd:restriction base="dms:DateTime"/>
      </xsd:simpleType>
    </xsd:element>
    <xsd:element name="MediaServiceMetadata" ma:index="12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3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4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�� 
</file>

<file path=customXml/itemProps1.xml><?xml version="1.0" encoding="utf-8"?>
<ds:datastoreItem xmlns:ds="http://schemas.openxmlformats.org/officeDocument/2006/customXml" ds:itemID="{D820887B-D82E-4477-8309-1D7F1468C00F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96EA6B41-7114-4090-AC3A-59B689EC8CDB}">
  <ds:schemaRefs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ddb61399-3db0-4cf3-b594-9ebb66c3c7ac"/>
    <ds:schemaRef ds:uri="http://purl.org/dc/elements/1.1/"/>
    <ds:schemaRef ds:uri="http://schemas.microsoft.com/office/2006/metadata/properties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F1398503-4653-4D73-9DBB-CC8196BD5B4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db61399-3db0-4cf3-b594-9ebb66c3c7a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D3E3875E-139E-49F0-BC6F-7AA6B8149E3C}">
  <ds:schemaRefs>
    <ds:schemaRef ds:uri="http://schemas.microsoft.com/DataMashup"/>
  </ds:schemaRefs>
</ds:datastoreItem>
</file>

<file path=docMetadata/LabelInfo.xml><?xml version="1.0" encoding="utf-8"?>
<clbl:labelList xmlns:clbl="http://schemas.microsoft.com/office/2020/mipLabelMetadata">
  <clbl:label id="{4148a6de-0dd1-4d04-a4c5-78e374e4f6d6}" enabled="0" method="" siteId="{4148a6de-0dd1-4d04-a4c5-78e374e4f6d6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</vt:i4>
      </vt:variant>
      <vt:variant>
        <vt:lpstr>Intervalos Nomeados</vt:lpstr>
      </vt:variant>
      <vt:variant>
        <vt:i4>1</vt:i4>
      </vt:variant>
    </vt:vector>
  </HeadingPairs>
  <TitlesOfParts>
    <vt:vector size="5" baseType="lpstr">
      <vt:lpstr>Modelo</vt:lpstr>
      <vt:lpstr>Resumo</vt:lpstr>
      <vt:lpstr>Semanário 2026</vt:lpstr>
      <vt:lpstr>padrao</vt:lpstr>
      <vt:lpstr>Modelo!Area_de_impressao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Breno Malta Silva</dc:creator>
  <cp:lastModifiedBy>Breno Malta Silva</cp:lastModifiedBy>
  <cp:lastPrinted>2026-03-10T14:42:19Z</cp:lastPrinted>
  <dcterms:created xsi:type="dcterms:W3CDTF">2026-03-03T13:05:04Z</dcterms:created>
  <dcterms:modified xsi:type="dcterms:W3CDTF">2026-03-11T12:15:01Z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0x01010053A6C2AD9A0C9D44A3C3F258687BCE4A</vt:lpwstr>
  </property>
</Properties>
</file>