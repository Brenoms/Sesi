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sisenaisp.sharepoint.com/sites/SemanrioCE-109/Documentos Compartilhados/Semanário 2026/Excel/"/>
    </mc:Choice>
  </mc:AlternateContent>
  <xr:revisionPtr revIDLastSave="2911" documentId="8_{796FDA4F-9B4C-44EE-9D99-B9F1754A2AC8}" xr6:coauthVersionLast="47" xr6:coauthVersionMax="47" xr10:uidLastSave="{F67B417A-308D-40C6-8122-3653BEB32705}"/>
  <bookViews>
    <workbookView xWindow="-110" yWindow="-110" windowWidth="19420" windowHeight="10300" xr2:uid="{F5CFD9A5-9EA5-4393-90E6-DCCD272CD06E}"/>
  </bookViews>
  <sheets>
    <sheet name="Modelo" sheetId="1" r:id="rId1"/>
    <sheet name="Resumo" sheetId="4" state="hidden" r:id="rId2"/>
    <sheet name="Semanário 2026" sheetId="3" state="hidden" r:id="rId3"/>
    <sheet name="padrao" sheetId="2" state="hidden" r:id="rId4"/>
  </sheets>
  <functionGroups builtInGroupCount="19"/>
  <definedNames>
    <definedName name="_xleta.T" hidden="1" xlm="1">#NAME?</definedName>
    <definedName name="_xlnm.Print_Area" localSheetId="0">Modelo!$A$1:$D$18</definedName>
    <definedName name="DadosExternos_1" localSheetId="2" hidden="1">'Semanário 2026'!$A$1:$M$79</definedName>
    <definedName name="DadosExternos_2" localSheetId="1" hidden="1">'Resumo'!$A$1:$J$79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D6" i="1"/>
  <c r="D5" i="1"/>
  <c r="B7" i="1"/>
  <c r="B15" i="1"/>
  <c r="C5" i="1" l="1"/>
  <c r="B6" i="1"/>
  <c r="D12" i="1"/>
  <c r="D4" i="1"/>
  <c r="B13" i="1"/>
  <c r="B5" i="1"/>
  <c r="C12" i="1"/>
  <c r="C4" i="1"/>
  <c r="D11" i="1"/>
  <c r="B12" i="1"/>
  <c r="B4" i="1"/>
  <c r="C11" i="1"/>
  <c r="D18" i="1"/>
  <c r="D10" i="1"/>
  <c r="B14" i="1"/>
  <c r="C13" i="1"/>
  <c r="B11" i="1"/>
  <c r="C18" i="1"/>
  <c r="C10" i="1"/>
  <c r="D17" i="1"/>
  <c r="D9" i="1"/>
  <c r="B10" i="1"/>
  <c r="D16" i="1"/>
  <c r="B18" i="1"/>
  <c r="C17" i="1"/>
  <c r="C9" i="1"/>
  <c r="D8" i="1"/>
  <c r="B17" i="1"/>
  <c r="B9" i="1"/>
  <c r="C16" i="1"/>
  <c r="C8" i="1"/>
  <c r="D15" i="1"/>
  <c r="D7" i="1"/>
  <c r="B16" i="1"/>
  <c r="B8" i="1"/>
  <c r="C15" i="1"/>
  <c r="C7" i="1"/>
  <c r="D14" i="1"/>
  <c r="C14" i="1"/>
  <c r="C6" i="1"/>
  <c r="D13" i="1"/>
  <c r="C19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A2" i="2" a="1"/>
  <c r="C2" i="2" a="1"/>
  <c r="B2" i="1"/>
  <c r="A2" i="1"/>
  <c r="D19" i="1" l="1"/>
  <c r="D20" i="1"/>
  <c r="D21" i="1"/>
  <c r="B20" i="1"/>
  <c r="B21" i="1"/>
  <c r="C20" i="1"/>
  <c r="C21" i="1"/>
  <c r="B19" i="1"/>
  <c r="H9" i="2"/>
  <c r="H10" i="2"/>
  <c r="H7" i="2"/>
  <c r="H8" i="2"/>
  <c r="G16" i="2"/>
  <c r="G30" i="2"/>
  <c r="G31" i="2"/>
  <c r="G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H4" i="2"/>
  <c r="H5" i="2"/>
  <c r="H6" i="2"/>
  <c r="H3" i="2"/>
  <c r="A2" i="2"/>
  <c r="G2" i="2" s="1"/>
  <c r="C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FA0BE2-4C88-4E10-B33D-74BAB971C2C4}" keepAlive="1" interval="1" name="Consulta - Resumo" description="Conexão com a consulta 'Resumo' na pasta de trabalho." type="5" refreshedVersion="8" background="1" refreshOnLoad="1" saveData="1">
    <dbPr connection="Provider=Microsoft.Mashup.OleDb.1;Data Source=$Workbook$;Location=Resumo;Extended Properties=&quot;&quot;" command="SELECT * FROM [Resumo]"/>
  </connection>
  <connection id="2" xr16:uid="{38E23537-A069-4A16-94BE-BB5ABC2C88BD}" keepAlive="1" interval="1" name="Consulta - Semanário 2026" description="Conexão com a consulta 'Semanário 2026' na pasta de trabalho." type="5" refreshedVersion="8" background="1" refreshOnLoad="1" saveData="1">
    <dbPr connection="Provider=Microsoft.Mashup.OleDb.1;Data Source=$Workbook$;Location=&quot;Semanário 2026&quot;;Extended Properties=&quot;&quot;" command="SELECT * FROM [Semanário 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<sst xmlns="http://schemas.openxmlformats.org/spreadsheetml/2006/main" count="1345" uniqueCount="185">
  <si>
    <t>Disciplinas</t>
  </si>
  <si>
    <t>Atividades em Sala de aula</t>
  </si>
  <si>
    <t>Tarefas para Casa</t>
  </si>
  <si>
    <t>Atividade Avaliativa</t>
  </si>
  <si>
    <t xml:space="preserve"> </t>
  </si>
  <si>
    <t>Disciplina:</t>
  </si>
  <si>
    <t>Língua Portuguesa</t>
  </si>
  <si>
    <t>Língua Inglesa</t>
  </si>
  <si>
    <t>Arte</t>
  </si>
  <si>
    <t>Educação Física</t>
  </si>
  <si>
    <t>História</t>
  </si>
  <si>
    <t>Geografia</t>
  </si>
  <si>
    <t>Matemática</t>
  </si>
  <si>
    <t>Ciências da Natureza</t>
  </si>
  <si>
    <t>STEAM</t>
  </si>
  <si>
    <t>Programação e Robótica</t>
  </si>
  <si>
    <t>Criado por.title</t>
  </si>
  <si>
    <t>Professor:</t>
  </si>
  <si>
    <t>Turma:</t>
  </si>
  <si>
    <t>Atividade em sala:</t>
  </si>
  <si>
    <t>Tarefa para casa:</t>
  </si>
  <si>
    <t>Atividade avaliativa:</t>
  </si>
  <si>
    <t>Selecione a Semana</t>
  </si>
  <si>
    <t>ID</t>
  </si>
  <si>
    <t>6º ano A</t>
  </si>
  <si>
    <t>6º ano B</t>
  </si>
  <si>
    <t>6º ano C</t>
  </si>
  <si>
    <t>6º ano D</t>
  </si>
  <si>
    <t>7º ano A</t>
  </si>
  <si>
    <t>7º ano B</t>
  </si>
  <si>
    <t>7º ano D</t>
  </si>
  <si>
    <t>7º ano C</t>
  </si>
  <si>
    <t>Trilha de Produção Textual</t>
  </si>
  <si>
    <t>1º ano A - EM</t>
  </si>
  <si>
    <t>1º ano B - EM</t>
  </si>
  <si>
    <t>1º ano C - EM</t>
  </si>
  <si>
    <t>1º ano D - EM</t>
  </si>
  <si>
    <t>1º ano E - EM</t>
  </si>
  <si>
    <t>8º ano A</t>
  </si>
  <si>
    <t>8º ano B</t>
  </si>
  <si>
    <t>8º ano C</t>
  </si>
  <si>
    <t>8º ano D</t>
  </si>
  <si>
    <t>9º ano A</t>
  </si>
  <si>
    <t>9º ano B</t>
  </si>
  <si>
    <t>9º ano C</t>
  </si>
  <si>
    <t>9º ano D</t>
  </si>
  <si>
    <t>9º ano E</t>
  </si>
  <si>
    <t>2º ano A - EM</t>
  </si>
  <si>
    <t>2º ano B - EM</t>
  </si>
  <si>
    <t>2º ano C - EM</t>
  </si>
  <si>
    <t>2º ano D - EM</t>
  </si>
  <si>
    <t>2º ano E - EM</t>
  </si>
  <si>
    <t>3º ano A - EM</t>
  </si>
  <si>
    <t>3º ano B - EM</t>
  </si>
  <si>
    <t>3º ano C - EM</t>
  </si>
  <si>
    <t>3º ano D - EM</t>
  </si>
  <si>
    <t>3º ano E - EM</t>
  </si>
  <si>
    <t>NumeroSemana</t>
  </si>
  <si>
    <t>InicioSemana</t>
  </si>
  <si>
    <t>FimSemana</t>
  </si>
  <si>
    <t>TextoSemana</t>
  </si>
  <si>
    <t>Aula</t>
  </si>
  <si>
    <t>Casa</t>
  </si>
  <si>
    <t>Avaliativa</t>
  </si>
  <si>
    <t>Chave</t>
  </si>
  <si>
    <t>Biologia</t>
  </si>
  <si>
    <t>Química</t>
  </si>
  <si>
    <t>Física</t>
  </si>
  <si>
    <t>Sociologia</t>
  </si>
  <si>
    <t>Filosofia</t>
  </si>
  <si>
    <t>Empreendedorismo</t>
  </si>
  <si>
    <t>Selecionar Semana</t>
  </si>
  <si>
    <t>Selecionar Turma</t>
  </si>
  <si>
    <t xml:space="preserve">Disciplinas </t>
  </si>
  <si>
    <t>tblDisciplinas2EM</t>
  </si>
  <si>
    <t>Turma</t>
  </si>
  <si>
    <t>TabelaDisciplina</t>
  </si>
  <si>
    <t>tblDisciplinasFundII</t>
  </si>
  <si>
    <t>tblDisciplinas1EM</t>
  </si>
  <si>
    <t>tblDisciplinas3EM</t>
  </si>
  <si>
    <t>Valor</t>
  </si>
  <si>
    <t>PastaBasePDFs</t>
  </si>
  <si>
    <t>Semana 2 - 05/jan a 09/jan</t>
  </si>
  <si>
    <t>Conceito /Características do gênero notícia e reportagem- Desenvolvimento Letrus</t>
  </si>
  <si>
    <t xml:space="preserve">Produção de notícia Letrus/exercícios do livro didático </t>
  </si>
  <si>
    <t>Produção de texto</t>
  </si>
  <si>
    <t>Talita Machiavelli do Carmo</t>
  </si>
  <si>
    <t>Talita Carmo</t>
  </si>
  <si>
    <t>Semana 2</t>
  </si>
  <si>
    <t>Investigando cap 2; avaliação do capítulo 1</t>
  </si>
  <si>
    <t xml:space="preserve">Estudar para avaliação </t>
  </si>
  <si>
    <t>Prova dissertativa/objetiva do capítulo 1</t>
  </si>
  <si>
    <t>Maite de Oliveira Silva Nascimento</t>
  </si>
  <si>
    <t>Maitê Nascimento</t>
  </si>
  <si>
    <t>Semana 8 - 16/fev a 20/fev</t>
  </si>
  <si>
    <t xml:space="preserve">Capitulo 2- Introdução a Notação científica- resolução das questões 13 até 23 e correção da avaliação </t>
  </si>
  <si>
    <t>Capítulo 2: Entrega dia 17/03 (terça-feira ) atividade 11 e 12 (página 39 e 41) Entrega dia 20/03(quinta-feira) atividade 24 página 49</t>
  </si>
  <si>
    <t>.</t>
  </si>
  <si>
    <t>Semana 7 - 09/fev a 13/fev</t>
  </si>
  <si>
    <t xml:space="preserve">Participação do projeto Letrus; Regência verbal e nominal; Produção de um vídeo de conscientização sobre o mês do respeito às mulheres; Conto, livro didático - páginas 71 a 78 - questões 1 a 7 (5ª f.); </t>
  </si>
  <si>
    <t>Livro didático, páginas 79 a 83 - questões 7 a 10.</t>
  </si>
  <si>
    <t>1 ponto</t>
  </si>
  <si>
    <t>Conto, livro didático - páginas 71 a 78, questões 1 a 6; Regência verbal e nominal; produção de vídeo de conscientização de respeito às mulheres; Música, livro didático, páginas 39 a 53.</t>
  </si>
  <si>
    <t>Semana 3 - 12/jan a 16/jan</t>
  </si>
  <si>
    <t>Análise de redações dissertativas-argumentativas do ENEM quanto à estrutura e à coesão textual. Revisão dos rascunhos dos textos e reescritas, se necessário.</t>
  </si>
  <si>
    <t>Acessar a plataforma Letrus, responder ao questionário, ler os textos da coletânea e produzir um rascunho do texto no caderno.</t>
  </si>
  <si>
    <t>Produção de texto na plataforma Letrus</t>
  </si>
  <si>
    <t>Capítulo 2: análise de uma reportagem para retomada e comparação com o gênero notícia e estudo de termos integrantes e acessórios em atividades contextualizadas.</t>
  </si>
  <si>
    <t>Leitura extraclasse da obra "Iracema", de José de Alencar.</t>
  </si>
  <si>
    <t>Avaliação individual sobre a literatura árcade.</t>
  </si>
  <si>
    <t>Análise de redações dissertativas-argumentativas do ENEM</t>
  </si>
  <si>
    <t>Produção de texto dissertativo-argumentativo</t>
  </si>
  <si>
    <t>Semana 1 - 29/dez a 02/jan</t>
  </si>
  <si>
    <t>Correção e devolutiva da Avaliação de Matemática 1, composta por situações-problema envolvendo números inteiros, conteúdo referente ao Capítulo 1. Em seguida, resolução e discussão coletiva dos exercícios 1, 2, 3, 4 e 5 do Capítulo 2 (páginas 52 a 56).</t>
  </si>
  <si>
    <t>Realizar exercícios extras sobre operações com números inteiros. O material estará disponível em anexo no Teams, para acesso caso necessário. Entrega em 20/03.</t>
  </si>
  <si>
    <t>Nenhuma</t>
  </si>
  <si>
    <t>*Capítulo 2: Solucionando a raiz do problema e aprendendo exponencialmente.
Atividades e Situações Problema com a nova operação: a Potenciação.
*Correção das atividades com novas explicações.
Obs: Pauta mais detalhada no Teams.</t>
  </si>
  <si>
    <t xml:space="preserve">*Desafios da semana: Realizar as atividades no caderno: pode copiar, ou imprimir e colar.
Obs: as atividades estão Pauta Semanal no Teams. Os alunos já tem conhecimento da postagem!
</t>
  </si>
  <si>
    <t>6A, 6B e 6D já realizaram a Prova Dissertativa na sexta-feira, dia 13/03. Somente o 6C fará a Prova Dissertativa na segunda-feira 16/03.
Conteúdo: As quatro operações. expressões numéricas - Capítulo1.</t>
  </si>
  <si>
    <t xml:space="preserve">Cap. 1: pág. 22 a 24
Estudo da Labanotação e o Movimento
Objetivo: Analisar como Laban utilizou a dança como uma forma de expressão artística e ideológica.
</t>
  </si>
  <si>
    <t xml:space="preserve">O que sei agora - pág. 25 - Realizar no caderno de desenho
</t>
  </si>
  <si>
    <t>Evidência: 
Participar ativamente nas discussões e debates sobre arte, propaganda e sociedade.
Criar uma sequência simples de movimentos que expressem um conceito ou ideia.</t>
  </si>
  <si>
    <t xml:space="preserve">Análise da obra: A vocação de São Mateus, no Encarte 4, do pintor italiano Caravaggio
Correção das questões sobre o Barroco 
Leitura imagética do padrão estético do Neoclassicismo - Ativ. 4 – pág. 39 
</t>
  </si>
  <si>
    <t>Ativ. 2 b – pág. 34</t>
  </si>
  <si>
    <t>Palácio da Memória: Associação de conceitos barrocos a elementos visuais e espaciais.
Analise e leitura não verbal de obras</t>
  </si>
  <si>
    <t xml:space="preserve">Análise da obra Impressão, nascer do sol, de Claude Monet - Ativ. 7, pág. 30 -  Encarte 4  
Entrega do desenho do Trajeto Casa- Sesi
</t>
  </si>
  <si>
    <t>Pesquisa de obras – pág. 32</t>
  </si>
  <si>
    <t>Descrever a estrutura de uma cidade</t>
  </si>
  <si>
    <t>• Introdução ao Capítulo 2 – The Country We Share (páginas 24, 25 e 26): apresentação do tema do capítulo, com reflexão sobre o país em que vivemos, sua diversidade cultural e geográfica.
• Leitura e interpretação de texto – Brazilian Northeast States You Must Visit (página 27): desenvolvimento da compreensão leitora em língua inglesa, identificação de informações principais do texto e ampliação de vocabulário.
• Saying Large Numbers in English (páginas 28 e 29): estudo e prática da leitura e da pronúncia de números grandes em inglês.</t>
  </si>
  <si>
    <t>• Praticar a escrita de números em inglês, revisando como escrever números grandes.
• Estudar para o ditado de números que será realizado em sala de aula.
• Ouvir a música The Big Numbers Song para praticar a pronúncia dos números em inglês:
https://youtu.be/e0dJWfQHF8Y?si=rupVBtf7edlH4U4k</t>
  </si>
  <si>
    <t/>
  </si>
  <si>
    <t>Semana 12 - 16/mar a 20/mar</t>
  </si>
  <si>
    <t xml:space="preserve">- Correção e esclarecimento de dúvidas das situações problema envolvendo descontos,  acréscimo sucessivos e descontos.
- Chamada individual dos alunos com dificuldades para esclarecimento de dúvidas.
- Atividade para levantamento de  conhecimento prévio: Razão.
</t>
  </si>
  <si>
    <t>Retoma: instruções da atividade postado no canal do Teams em atividades de aula.</t>
  </si>
  <si>
    <t>Atividade avaliativa em grupo:  técnicas operatórias com Números Reais</t>
  </si>
  <si>
    <t>Capítulo 2: pág 45 a 51 - investigando, vídeos sobre o conteúdo, análise de textos.</t>
  </si>
  <si>
    <t>Atividade 3 - pág 50</t>
  </si>
  <si>
    <t>Encarte da atividade experimental</t>
  </si>
  <si>
    <t>Capítulo 2: pág 42 a 50 - investigando, vídeos e atividades no livro</t>
  </si>
  <si>
    <t>Atividade 4 - pág 50</t>
  </si>
  <si>
    <t>montagem do filtro e análise de água no microscópio</t>
  </si>
  <si>
    <t>relatório da atividade experimental</t>
  </si>
  <si>
    <t>Pesquisa em grupos - tema do produto final</t>
  </si>
  <si>
    <t>Ana Paula de Oliveira Barbosa</t>
  </si>
  <si>
    <t>Ana Paula</t>
  </si>
  <si>
    <t>Semana 8</t>
  </si>
  <si>
    <t>Cristiano Candido da Silva</t>
  </si>
  <si>
    <t>Cristiano Silva</t>
  </si>
  <si>
    <t>Semana 7</t>
  </si>
  <si>
    <t>Claudia Moraes Mendonca</t>
  </si>
  <si>
    <t>Cláudia Moraes</t>
  </si>
  <si>
    <t>Semana 3</t>
  </si>
  <si>
    <t>Vinicius Morais Ferreira</t>
  </si>
  <si>
    <t>Vinícius Morais</t>
  </si>
  <si>
    <t>Semana 1</t>
  </si>
  <si>
    <t>Renata Pereira Teixeira Goncalves</t>
  </si>
  <si>
    <t>Renata Teixeira</t>
  </si>
  <si>
    <t>Ferdinanda Fernandes de Lima Souza</t>
  </si>
  <si>
    <t>Ferdinanda Souza</t>
  </si>
  <si>
    <t>Adriana de Brito Gosuen</t>
  </si>
  <si>
    <t>Adriana Gosuem</t>
  </si>
  <si>
    <t>Renata Parzewski Moreti</t>
  </si>
  <si>
    <t>Renata Parzewski</t>
  </si>
  <si>
    <t>Semana 12</t>
  </si>
  <si>
    <t>C:\Users\ss1097701\Desktop\Semanário</t>
  </si>
  <si>
    <t xml:space="preserve">Levantamento de conhecimentos prévios sobre funções.
Atividades da unidade 2 em duplas.
Participação dos alunos em lousa.
Construção gráfica de funções </t>
  </si>
  <si>
    <t>Material didático - Unidade 2</t>
  </si>
  <si>
    <t>Participação em lousa e pauta de observação.</t>
  </si>
  <si>
    <t xml:space="preserve">Unidade 2
Entrega de mapa mental _ vídeo aula teams
Atividades do material didático </t>
  </si>
  <si>
    <t>Atividades da unidade 2.</t>
  </si>
  <si>
    <t>Pauta de observação e participação em lousa</t>
  </si>
  <si>
    <t xml:space="preserve">Linha do tempo tecnológica </t>
  </si>
  <si>
    <t xml:space="preserve">Mapa mental da linha tecnológica </t>
  </si>
  <si>
    <t>Apresentação em grupos</t>
  </si>
  <si>
    <t xml:space="preserve">Programação leitores de códigos </t>
  </si>
  <si>
    <t>Postagem de montagem e programação no teams</t>
  </si>
  <si>
    <t xml:space="preserve">Apresentação dos trabalhos </t>
  </si>
  <si>
    <t xml:space="preserve">Debate em sala sobre conflitos de gerações no mercado de trabalho </t>
  </si>
  <si>
    <t>Estudar características de gerações.</t>
  </si>
  <si>
    <t xml:space="preserve">Pauta de observações do debate </t>
  </si>
  <si>
    <t>Paulo Alexandre Mozetti</t>
  </si>
  <si>
    <t>Paulo Mozetti</t>
  </si>
  <si>
    <t xml:space="preserve">-Feedback Avaliação escrita e retomada de conteúdos (análise do erro)
- Atividades do livro sobre função social e características dos gêneros notícia e reportagem-(páginas 42 a 53)
- Diferença entre FATO e OPINIÃO e atividades.
-
</t>
  </si>
  <si>
    <t>- Movimento do Aprender- atividade 4, letra b (Unidade 2); atividade 7, letra e (Unidade 2).
-Exercícios extras (Preparação para a Recuperação)</t>
  </si>
  <si>
    <t>Produção de texto: plataforma Letrus 
Participação na socialização da correção coletiva e cumprimentos de tarefas.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</si>
</sst>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20"/>
      <color rgb="FF000000"/>
      <name val="Aptos Narrow"/>
      <family val="2"/>
    </font>
    <font>
      <sz val="22"/>
      <color rgb="FF000000"/>
      <name val="Aptos Narrow"/>
      <family val="2"/>
    </font>
    <font>
      <sz val="11"/>
      <color rgb="FF000000"/>
      <name val="Aptos Narrow"/>
      <family val="2"/>
    </font>
    <font>
      <b/>
      <sz val="1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thin">
        <color rgb="FFFF0000"/>
      </right>
      <top style="medium">
        <color rgb="FFC00000"/>
      </top>
      <bottom style="thin">
        <color rgb="FFFF0000"/>
      </bottom>
      <diagonal/>
    </border>
    <border>
      <left style="thin">
        <color rgb="FFFF0000"/>
      </left>
      <right/>
      <top style="medium">
        <color rgb="FFC00000"/>
      </top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 style="medium">
        <color rgb="FFC00000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/>
      <bottom style="thin">
        <color rgb="FFFF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/>
    </xf>
    <xf numFmtId="0" fontId="4" fillId="3" borderId="2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0" fillId="0" borderId="7" xfId="0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vertical="center" wrapText="1"/>
    </xf>
    <xf numFmtId="0" fontId="10" fillId="3" borderId="7" xfId="0" applyFont="1" applyFill="1" applyBorder="1" applyAlignment="1">
      <alignment horizontal="left" wrapText="1"/>
    </xf>
    <xf numFmtId="0" fontId="3" fillId="2" borderId="7" xfId="0" applyNumberFormat="1" applyFont="1" applyFill="1" applyBorder="1" applyAlignment="1">
      <alignment horizontal="center" vertical="center" wrapText="1"/>
    </xf>
    <xf numFmtId="0" fontId="10" fillId="3" borderId="7" xfId="0" applyNumberFormat="1" applyFont="1" applyFill="1" applyBorder="1" applyAlignment="1">
      <alignment horizontal="left" wrapText="1"/>
    </xf>
    <xf numFmtId="0" fontId="10" fillId="3" borderId="7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2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/>
        <bottom/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/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83127</xdr:colOff>
      <xdr:row>0</xdr:row>
      <xdr:rowOff>152400</xdr:rowOff>
    </xdr:from>
    <xdr:to>
      <xdr:col>3</xdr:col>
      <xdr:colOff>7301345</xdr:colOff>
      <xdr:row>0</xdr:row>
      <xdr:rowOff>1891341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9F1E9BA-7944-4B8B-AE94-82C44C75562D}"/>
            </a:ext>
          </a:extLst>
        </xdr:cNvPr>
        <xdr:cNvGrpSpPr/>
      </xdr:nvGrpSpPr>
      <xdr:grpSpPr>
        <a:xfrm>
          <a:off x="83127" y="152400"/>
          <a:ext cx="21344851" cy="1738941"/>
          <a:chOff x="450149" y="1958"/>
          <a:chExt cx="18239959" cy="1666898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47BFD2F-F83B-EB5F-273C-341059F15463}"/>
              </a:ext>
            </a:extLst>
          </xdr:cNvPr>
          <xdr:cNvGrpSpPr/>
        </xdr:nvGrpSpPr>
        <xdr:grpSpPr>
          <a:xfrm>
            <a:off x="6017156" y="1958"/>
            <a:ext cx="12672952" cy="1593274"/>
            <a:chOff x="6017156" y="1958"/>
            <a:chExt cx="12672952" cy="1593274"/>
          </a:xfrm>
        </xdr:grpSpPr>
        <xdr:pic>
          <xdr:nvPicPr>
            <xdr:cNvPr id="12" name="Imagem 11" descr="Sesi Logo – Serviço Social da Indústria Logo – PNG e Vetor ...">
              <a:extLst>
                <a:ext uri="{FF2B5EF4-FFF2-40B4-BE49-F238E27FC236}">
                  <a16:creationId xmlns:a16="http://schemas.microsoft.com/office/drawing/2014/main" id="{607E051C-463C-C867-EBF0-D1C57A63B1B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282903" y="1958"/>
              <a:ext cx="3407205" cy="159327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6A8C405-8D1A-E266-6125-2DB10540BB2E}"/>
                </a:ext>
              </a:extLst>
            </xdr:cNvPr>
            <xdr:cNvGrpSpPr/>
          </xdr:nvGrpSpPr>
          <xdr:grpSpPr>
            <a:xfrm>
              <a:off x="6017156" y="1352576"/>
              <a:ext cx="12292445" cy="186901"/>
              <a:chOff x="4610304" y="3719946"/>
              <a:chExt cx="11385787" cy="186901"/>
            </a:xfrm>
          </xdr:grpSpPr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4DCCFC8A-67D3-5771-2E4D-C6B410D57999}"/>
                  </a:ext>
                </a:extLst>
              </xdr:cNvPr>
              <xdr:cNvSpPr/>
            </xdr:nvSpPr>
            <xdr:spPr>
              <a:xfrm>
                <a:off x="5073076" y="3834847"/>
                <a:ext cx="10920153" cy="72000"/>
              </a:xfrm>
              <a:prstGeom prst="rect">
                <a:avLst/>
              </a:prstGeom>
              <a:solidFill>
                <a:srgbClr val="646464"/>
              </a:solidFill>
              <a:ln>
                <a:solidFill>
                  <a:srgbClr val="646464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E7A5AACF-BB79-376C-8329-5999AA96E0AC}"/>
                  </a:ext>
                </a:extLst>
              </xdr:cNvPr>
              <xdr:cNvSpPr/>
            </xdr:nvSpPr>
            <xdr:spPr>
              <a:xfrm>
                <a:off x="4610304" y="3719946"/>
                <a:ext cx="11385787" cy="72000"/>
              </a:xfrm>
              <a:prstGeom prst="rect">
                <a:avLst/>
              </a:prstGeom>
              <a:solidFill>
                <a:srgbClr val="E30D1B"/>
              </a:solidFill>
              <a:ln>
                <a:solidFill>
                  <a:srgbClr val="E30D1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8AF5F2-13E1-AD66-974F-F5F618D176DE}"/>
              </a:ext>
            </a:extLst>
          </xdr:cNvPr>
          <xdr:cNvSpPr txBox="1"/>
        </xdr:nvSpPr>
        <xdr:spPr>
          <a:xfrm>
            <a:off x="450149" y="543355"/>
            <a:ext cx="4165146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6600" b="1"/>
              <a:t>Semanário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1117600</xdr:colOff>
          <xdr:row>3</xdr:row>
          <xdr:rowOff>1828800</xdr:rowOff>
        </xdr:from>
        <xdr:to>
          <xdr:col>8</xdr:col>
          <xdr:colOff>381000</xdr:colOff>
          <xdr:row>4</xdr:row>
          <xdr:rowOff>609600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</a:t>
              </a:r>
            </a:p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 semana atual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1885950</xdr:colOff>
      <xdr:row>6</xdr:row>
      <xdr:rowOff>457200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D92F4F2-0F26-269E-D624-3442E61B6F36}"/>
            </a:ext>
          </a:extLst>
        </xdr:cNvPr>
        <xdr:cNvSpPr txBox="1"/>
      </xdr:nvSpPr>
      <xdr:spPr>
        <a:xfrm>
          <a:off x="21717000" y="662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</xdr:row>
          <xdr:rowOff>1276350</xdr:rowOff>
        </xdr:from>
        <xdr:to>
          <xdr:col>6</xdr:col>
          <xdr:colOff>914400</xdr:colOff>
          <xdr:row>5</xdr:row>
          <xdr:rowOff>419100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Aptos Narrow"/>
                </a:rPr>
                <a:t>Gerar PDF por Seleção de Turma e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1809750</xdr:rowOff>
        </xdr:from>
        <xdr:to>
          <xdr:col>6</xdr:col>
          <xdr:colOff>647700</xdr:colOff>
          <xdr:row>4</xdr:row>
          <xdr:rowOff>685800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 da proxima 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127000</xdr:colOff>
          <xdr:row>0</xdr:row>
          <xdr:rowOff>400050</xdr:rowOff>
        </xdr:from>
        <xdr:to>
          <xdr:col>6</xdr:col>
          <xdr:colOff>1631950</xdr:colOff>
          <xdr:row>0</xdr:row>
          <xdr:rowOff>1238250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Selecionar  Pasta para Salvar PDFs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6F160840-EA86-43A1-B586-49DBD04D1BA6}" autoFormatId="16" applyNumberFormats="0" applyBorderFormats="0" applyFontFormats="0" applyPatternFormats="0" applyAlignmentFormats="0" applyWidthHeightFormats="0">
  <queryTableRefresh nextId="11">
    <queryTableFields count="10">
      <queryTableField id="1" name="Turma:" tableColumnId="1"/>
      <queryTableField id="2" name="NumeroSemana" tableColumnId="2"/>
      <queryTableField id="3" name="InicioSemana" tableColumnId="3"/>
      <queryTableField id="4" name="FimSemana" tableColumnId="4"/>
      <queryTableField id="5" name="TextoSemana" tableColumnId="5"/>
      <queryTableField id="6" name="Disciplina:" tableColumnId="6"/>
      <queryTableField id="7" name="Aula" tableColumnId="7"/>
      <queryTableField id="8" name="Casa" tableColumnId="8"/>
      <queryTableField id="10" dataBound="0" tableColumnId="12"/>
      <queryTableField id="9" name="Avaliativa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3398B379-D10E-44C5-9C43-ECDB925176F0}" autoFormatId="16" applyNumberFormats="0" applyBorderFormats="0" applyFontFormats="0" applyPatternFormats="0" applyAlignmentFormats="0" applyWidthHeightFormats="0">
  <queryTableRefresh nextId="14">
    <queryTableFields count="13">
      <queryTableField id="1" name="Criado por.title" tableColumnId="1"/>
      <queryTableField id="2" name="Professor:" tableColumnId="2"/>
      <queryTableField id="3" name="Disciplina:" tableColumnId="3"/>
      <queryTableField id="4" name="Turma:" tableColumnId="4"/>
      <queryTableField id="5" name="Atividade em sala:" tableColumnId="5"/>
      <queryTableField id="6" name="Tarefa para casa:" tableColumnId="6"/>
      <queryTableField id="7" name="Atividade avaliativa:" tableColumnId="7"/>
      <queryTableField id="8" name="Selecione a Semana" tableColumnId="8"/>
      <queryTableField id="9" name="ID" tableColumnId="9"/>
      <queryTableField id="10" name="NumeroSemana" tableColumnId="10"/>
      <queryTableField id="11" name="InicioSemana" tableColumnId="11"/>
      <queryTableField id="12" name="FimSemana" tableColumnId="12"/>
      <queryTableField id="13" name="TextoSemana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5987F-9685-460A-AE6A-2B8E22C9CE89}" name="tblModelo" displayName="tblModelo" ref="A3:D18" totalsRowShown="0" headerRowDxfId="4" headerRowBorderDxfId="21" tableBorderDxfId="20" totalsRowBorderDxfId="19">
  <autoFilter ref="A3:D18" xr:uid="{0AF5987F-9685-460A-AE6A-2B8E22C9CE89}"/>
  <tableColumns count="4">
    <tableColumn id="1" xr3:uid="{66C08A1F-46AE-4ED2-834B-9F828FCFFC15}" name="Disciplinas" dataDxfId="8">
      <calculatedColumnFormula>tblDisciplinas[[#This Row],[Disciplinas]]</calculatedColumnFormula>
    </tableColumn>
    <tableColumn id="2" xr3:uid="{FE9A2AAF-38CA-47D5-ADBD-0CDBBB69381C}" name="Atividades em Sala de aula" dataDxfId="7">
      <calculatedColumnFormula>IFERROR(_xlfn.XLOOKUP($F$4&amp;" | "&amp;$G$4&amp;" | "&amp;tblModelo[[#This Row],[Disciplinas]],Resumo[Chave],Resumo[Aula]),"")</calculatedColumnFormula>
    </tableColumn>
    <tableColumn id="3" xr3:uid="{F77E328D-6B37-4321-B10F-488A07055ADB}" name="Tarefas para Casa" dataDxfId="6">
      <calculatedColumnFormula>IFERROR(_xlfn.XLOOKUP($F$4&amp;" | "&amp;$G$4&amp;" | "&amp;tblModelo[[#This Row],[Disciplinas]],Resumo[Chave],Resumo[Casa]),"")</calculatedColumnFormula>
    </tableColumn>
    <tableColumn id="4" xr3:uid="{2A95E06A-5C10-451F-9A6E-FA196AC1CB25}" name="Atividade Avaliativa" dataDxfId="5">
      <calculatedColumnFormula>IFERROR(_xlfn.XLOOKUP($F$4&amp;" | "&amp;$G$4&amp;" | "&amp;tblModelo[[#This Row],[Disciplinas]],Resumo[Chave],Resumo[Avaliativa]),"")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868AF9-C87F-4858-80D8-985D750748B6}" name="Resumo" displayName="Resumo" ref="A1:J79" tableType="queryTable" totalsRowShown="0">
  <autoFilter ref="A1:J79" xr:uid="{40868AF9-C87F-4858-80D8-985D750748B6}"/>
  <tableColumns count="10">
    <tableColumn id="1" xr3:uid="{587BBECA-8224-428D-964B-DD0041BE07FD}" uniqueName="1" name="Turma:" queryTableFieldId="1"/>
    <tableColumn id="2" xr3:uid="{B2BE5C4F-22E4-4FCE-86D6-640607E93123}" uniqueName="2" name="NumeroSemana" queryTableFieldId="2"/>
    <tableColumn id="3" xr3:uid="{0569DE45-B5EA-4AD5-B48F-4B9640FAAD5E}" uniqueName="3" name="InicioSemana" queryTableFieldId="3" dataDxfId="1"/>
    <tableColumn id="4" xr3:uid="{9E736D80-23A4-4B5C-8A40-8ED90DF63B46}" uniqueName="4" name="FimSemana" queryTableFieldId="4" dataDxfId="0"/>
    <tableColumn id="5" xr3:uid="{C4001A75-7CE8-4EED-87F5-79CEF11E522F}" uniqueName="5" name="TextoSemana" queryTableFieldId="5"/>
    <tableColumn id="6" xr3:uid="{1CED4EAB-4484-45FC-82D8-1F8EFAAD3C9B}" uniqueName="6" name="Disciplina:" queryTableFieldId="6"/>
    <tableColumn id="7" xr3:uid="{4723DBD8-DA85-4076-A114-BBD44872977C}" uniqueName="7" name="Aula" queryTableFieldId="7"/>
    <tableColumn id="8" xr3:uid="{DAA39F0D-4079-47BE-8FC9-C6DED2834554}" uniqueName="8" name="Casa" queryTableFieldId="8"/>
    <tableColumn id="12" xr3:uid="{E5568128-61E9-4C3E-99D5-0170A4C59A57}" uniqueName="12" name="Chave" queryTableFieldId="10">
      <calculatedColumnFormula>Resumo[[#This Row],[Turma:]] &amp; " | " &amp; Resumo[[#This Row],[TextoSemana]] &amp; " | " &amp; Resumo[[#This Row],[Disciplina:]]</calculatedColumnFormula>
    </tableColumn>
    <tableColumn id="9" xr3:uid="{97615B4E-F862-40F5-9C8F-8EF9A6105F82}" uniqueName="9" name="Avaliativa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EA8BB-D687-420A-8A1A-84615484BC26}" name="Semanário_2026" displayName="Semanário_2026" ref="A1:M79" tableType="queryTable" totalsRowShown="0">
  <autoFilter ref="A1:M79" xr:uid="{65BEA8BB-D687-420A-8A1A-84615484BC26}"/>
  <tableColumns count="13">
    <tableColumn id="1" xr3:uid="{C80285F3-14ED-4B61-9041-BEB670EA0417}" uniqueName="1" name="Criado por.title" queryTableFieldId="1"/>
    <tableColumn id="2" xr3:uid="{70281C78-0BD6-44B3-9DBE-4FD86D54121A}" uniqueName="2" name="Professor:" queryTableFieldId="2"/>
    <tableColumn id="3" xr3:uid="{804634BE-578A-4748-88AD-4F63E327DEDB}" uniqueName="3" name="Disciplina:" queryTableFieldId="3"/>
    <tableColumn id="4" xr3:uid="{4D213824-64F4-4D7E-9C86-73608AB42CD3}" uniqueName="4" name="Turma:" queryTableFieldId="4"/>
    <tableColumn id="5" xr3:uid="{5B8B32E3-EBF3-4E2B-B6B8-981CE2AE9229}" uniqueName="5" name="Atividade em sala:" queryTableFieldId="5"/>
    <tableColumn id="6" xr3:uid="{F2ECC3E0-3144-40A5-9E57-E1FF3E9D7F86}" uniqueName="6" name="Tarefa para casa:" queryTableFieldId="6"/>
    <tableColumn id="7" xr3:uid="{C8FE91F7-4CE3-442A-856B-9D35EE36EBC0}" uniqueName="7" name="Atividade avaliativa:" queryTableFieldId="7"/>
    <tableColumn id="8" xr3:uid="{AD8D3C0C-0272-487A-9E30-E9E514B35EFD}" uniqueName="8" name="Selecione a Semana" queryTableFieldId="8"/>
    <tableColumn id="9" xr3:uid="{27CC3356-5C06-4460-A061-3B87E2A5DF81}" uniqueName="9" name="ID" queryTableFieldId="9"/>
    <tableColumn id="10" xr3:uid="{05602576-D589-4F9E-8800-F620DAFFE560}" uniqueName="10" name="NumeroSemana" queryTableFieldId="10"/>
    <tableColumn id="11" xr3:uid="{79FA90A4-C010-43F1-845D-40031FA759C6}" uniqueName="11" name="InicioSemana" queryTableFieldId="11" dataDxfId="3"/>
    <tableColumn id="12" xr3:uid="{B90CB131-C135-4011-B4F8-1A1C6DD74BA4}" uniqueName="12" name="FimSemana" queryTableFieldId="12" dataDxfId="2"/>
    <tableColumn id="13" xr3:uid="{CFD2456E-0D68-48E5-A3D1-ECDF16FCAD6C}" uniqueName="13" name="TextoSemana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3914B7-C1AC-4070-8CBF-3B237382E496}" name="tblDisciplinas" displayName="tblDisciplinas" ref="E2:E19" totalsRowShown="0" dataDxfId="18">
  <autoFilter ref="E2:E19" xr:uid="{DB3914B7-C1AC-4070-8CBF-3B237382E496}"/>
  <tableColumns count="1">
    <tableColumn id="1" xr3:uid="{616039CA-8FE6-41A3-B239-256E7F235AA4}" name="Disciplinas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D72C8B-6C9A-4A7C-985A-BBDB89D158F4}" name="tblTurmas" displayName="tblTurmas" ref="G1:G33" totalsRowShown="0">
  <autoFilter ref="G1:G33" xr:uid="{B9D72C8B-6C9A-4A7C-985A-BBDB89D158F4}"/>
  <tableColumns count="1">
    <tableColumn id="1" xr3:uid="{8EAF0DB4-2637-4D75-BE72-8C152489CE67}" name="Selecionar Turma">
      <calculatedColumnFormula>padrao!A2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F9D23A-4F6C-400C-8C44-1D45C90368C0}" name="tblSemanas" displayName="tblSemanas" ref="H1:H53" totalsRowShown="0">
  <autoFilter ref="H1:H53" xr:uid="{A1F9D23A-4F6C-400C-8C44-1D45C90368C0}"/>
  <tableColumns count="1">
    <tableColumn id="1" xr3:uid="{B28B4803-4F9A-4E3F-A83D-DE24FA5604D9}" name="Selecionar Semana">
      <calculatedColumnFormula>padrao!C2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61E2C-76B0-4E4F-AFF7-412475F75302}" name="tblDisciplinasFundII" displayName="tblDisciplinasFundII" ref="E22:E32" totalsRowShown="0" dataDxfId="16">
  <autoFilter ref="E22:E32" xr:uid="{DF661E2C-76B0-4E4F-AFF7-412475F75302}"/>
  <tableColumns count="1">
    <tableColumn id="1" xr3:uid="{EFE45655-B6A0-4F81-9CAF-0B022DCC7627}" name="Disciplinas" dataDxfId="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93605D-108D-45AF-A9F5-E81453ABE6CC}" name="tblDisciplinas1EM" displayName="tblDisciplinas1EM" ref="E35:E50" totalsRowShown="0" dataDxfId="14">
  <autoFilter ref="E35:E50" xr:uid="{7F93605D-108D-45AF-A9F5-E81453ABE6CC}"/>
  <tableColumns count="1">
    <tableColumn id="1" xr3:uid="{629CCB22-6A59-4115-9739-9AE6B42DB966}" name="Disciplinas 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70CA-19C1-40D3-91ED-36DA6058D3F7}" name="tblDisciplinas2EM" displayName="tblDisciplinas2EM" ref="E54:E66" totalsRowShown="0" dataDxfId="12">
  <autoFilter ref="E54:E66" xr:uid="{19D270CA-19C1-40D3-91ED-36DA6058D3F7}"/>
  <tableColumns count="1">
    <tableColumn id="1" xr3:uid="{85D615AC-76DB-4799-B514-E37CE5D19074}" name="Disciplinas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3DD26E-73E7-4733-B40F-96DB5B647497}" name="tblDisciplinas3EM" displayName="tblDisciplinas3EM" ref="E73:E81" totalsRowShown="0" dataDxfId="10">
  <autoFilter ref="E73:E81" xr:uid="{7E3DD26E-73E7-4733-B40F-96DB5B647497}"/>
  <tableColumns count="1">
    <tableColumn id="1" xr3:uid="{E703E604-28A2-4F71-ABA4-7A13FBF23408}" name="Disciplinas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4E2CC1-CF18-4D91-BBDA-92E8CA9167FE}" name="tblMapaDisciplinas" displayName="tblMapaDisciplinas" ref="G60:H92" totalsRowShown="0">
  <autoFilter ref="G60:H92" xr:uid="{474E2CC1-CF18-4D91-BBDA-92E8CA9167FE}"/>
  <tableColumns count="2">
    <tableColumn id="1" xr3:uid="{8D4BFB97-1FDD-494F-8E22-9C75A35EDA6C}" name="Turma"/>
    <tableColumn id="2" xr3:uid="{3EAD5F93-BCD0-409F-9FCB-6B638DD56395}" name="TabelaDisciplin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EF637F-868A-498B-9236-AD2B7692F101}" name="tblConfig" displayName="tblConfig" ref="J1:K2" totalsRowShown="0">
  <autoFilter ref="J1:K2" xr:uid="{44EF637F-868A-498B-9236-AD2B7692F101}"/>
  <tableColumns count="2">
    <tableColumn id="1" xr3:uid="{EAFE7775-F33A-48B7-BB16-112A2E35BEFB}" name="Chave"/>
    <tableColumn id="2" xr3:uid="{E49E5751-EE4B-4772-8EE8-934E72BBCFCB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F14F-3E13-43E9-8B1A-5ABB35B4B142}">
  <sheetPr codeName="Planilha1">
    <pageSetUpPr fitToPage="1"/>
  </sheetPr>
  <dimension ref="A1:J24"/>
  <sheetViews>
    <sheetView showGridLines="0" tabSelected="1" view="pageBreakPreview" zoomScale="30" zoomScaleNormal="40" zoomScaleSheetLayoutView="30" zoomScalePageLayoutView="25" workbookViewId="0">
      <selection activeCell="S4" sqref="S4"/>
    </sheetView>
  </sheetViews>
  <sheetFormatPr defaultRowHeight="14.5" x14ac:dyDescent="0.35"/>
  <cols>
    <col min="1" max="1" width="34.7265625" customWidth="1"/>
    <col min="2" max="4" width="90.7265625" customWidth="1"/>
    <col min="6" max="6" width="30.1796875" bestFit="1" customWidth="1"/>
    <col min="7" max="7" width="42.26953125" bestFit="1" customWidth="1"/>
  </cols>
  <sheetData>
    <row r="1" spans="1:10" s="2" customFormat="1" ht="157.9" customHeight="1" x14ac:dyDescent="0.35">
      <c r="A1" s="18" t="s">
        <v>4</v>
      </c>
      <c r="B1" s="18"/>
      <c r="C1" s="18"/>
      <c r="D1" s="18"/>
    </row>
    <row r="2" spans="1:10" ht="45" customHeight="1" x14ac:dyDescent="0.35">
      <c r="A2" s="19" t="str">
        <f>$F$4</f>
        <v>1º ano A - EM</v>
      </c>
      <c r="B2" s="20" t="str">
        <f>$G$4</f>
        <v>Semana 12 - 16/mar a 20/mar</v>
      </c>
      <c r="C2" s="20"/>
      <c r="D2" s="20"/>
    </row>
    <row r="3" spans="1:10" ht="60" customHeight="1" x14ac:dyDescent="0.35">
      <c r="A3" s="21" t="s">
        <v>0</v>
      </c>
      <c r="B3" s="21" t="s">
        <v>1</v>
      </c>
      <c r="C3" s="21" t="s">
        <v>2</v>
      </c>
      <c r="D3" s="21" t="s">
        <v>3</v>
      </c>
    </row>
    <row r="4" spans="1:10" ht="150" customHeight="1" x14ac:dyDescent="0.35">
      <c r="A4" s="22" t="s">
        <v>15</v>
      </c>
      <c r="B4" s="23" t="str">
        <f>IFERROR(_xlfn.XLOOKUP($F$4&amp;" | "&amp;$G$4&amp;" | "&amp;tblModelo[[#This Row],[Disciplinas]],Resumo[Chave],Resumo[Aula]),"")</f>
        <v/>
      </c>
      <c r="C4" s="24" t="str">
        <f>IFERROR(_xlfn.XLOOKUP($F$4&amp;" | "&amp;$G$4&amp;" | "&amp;tblModelo[[#This Row],[Disciplinas]],Resumo[Chave],Resumo[Casa]),"")</f>
        <v/>
      </c>
      <c r="D4" s="24" t="str">
        <f>IFERROR(_xlfn.XLOOKUP($F$4&amp;" | "&amp;$G$4&amp;" | "&amp;tblModelo[[#This Row],[Disciplinas]],Resumo[Chave],Resumo[Avaliativa]),"")</f>
        <v/>
      </c>
      <c r="F4" s="12" t="s">
        <v>33</v>
      </c>
      <c r="G4" s="12" t="s">
        <v>131</v>
      </c>
    </row>
    <row r="5" spans="1:10" ht="150" customHeight="1" x14ac:dyDescent="0.35">
      <c r="A5" s="22" t="s">
        <v>6</v>
      </c>
      <c r="B5" s="23" t="str">
        <f>IFERROR(_xlfn.XLOOKUP($F$4&amp;" | "&amp;$G$4&amp;" | "&amp;tblModelo[[#This Row],[Disciplinas]],Resumo[Chave],Resumo[Aula]),"")</f>
        <v/>
      </c>
      <c r="C5" s="24" t="str">
        <f>IFERROR(_xlfn.XLOOKUP($F$4&amp;" | "&amp;$G$4&amp;" | "&amp;tblModelo[[#This Row],[Disciplinas]],Resumo[Chave],Resumo[Casa]),"")</f>
        <v/>
      </c>
      <c r="D5" s="24" t="str">
        <f>IFERROR(_xlfn.XLOOKUP($F$4&amp;" | "&amp;$G$4&amp;" | "&amp;tblModelo[[#This Row],[Disciplinas]],Resumo[Chave],Resumo[Avaliativa]),"")</f>
        <v/>
      </c>
    </row>
    <row r="6" spans="1:10" ht="150" customHeight="1" x14ac:dyDescent="0.35">
      <c r="A6" s="22" t="s">
        <v>7</v>
      </c>
      <c r="B6" s="23" t="str">
        <f>IFERROR(_xlfn.XLOOKUP($F$4&amp;" | "&amp;$G$4&amp;" | "&amp;tblModelo[[#This Row],[Disciplinas]],Resumo[Chave],Resumo[Aula]),"")</f>
        <v/>
      </c>
      <c r="C6" s="24" t="str">
        <f>IFERROR(_xlfn.XLOOKUP($F$4&amp;" | "&amp;$G$4&amp;" | "&amp;tblModelo[[#This Row],[Disciplinas]],Resumo[Chave],Resumo[Casa]),"")</f>
        <v/>
      </c>
      <c r="D6" s="24" t="str">
        <f>IFERROR(_xlfn.XLOOKUP($F$4&amp;" | "&amp;$G$4&amp;" | "&amp;tblModelo[[#This Row],[Disciplinas]],Resumo[Chave],Resumo[Avaliativa]),"")</f>
        <v/>
      </c>
    </row>
    <row r="7" spans="1:10" ht="150" customHeight="1" x14ac:dyDescent="0.35">
      <c r="A7" s="22" t="s">
        <v>8</v>
      </c>
      <c r="B7" s="23" t="str">
        <f>IFERROR(_xlfn.XLOOKUP($F$4&amp;" | "&amp;$G$4&amp;" | "&amp;tblModelo[[#This Row],[Disciplinas]],Resumo[Chave],Resumo[Aula]),"")</f>
        <v/>
      </c>
      <c r="C7" s="24" t="str">
        <f>IFERROR(_xlfn.XLOOKUP($F$4&amp;" | "&amp;$G$4&amp;" | "&amp;tblModelo[[#This Row],[Disciplinas]],Resumo[Chave],Resumo[Casa]),"")</f>
        <v/>
      </c>
      <c r="D7" s="24" t="str">
        <f>IFERROR(_xlfn.XLOOKUP($F$4&amp;" | "&amp;$G$4&amp;" | "&amp;tblModelo[[#This Row],[Disciplinas]],Resumo[Chave],Resumo[Avaliativa]),"")</f>
        <v/>
      </c>
    </row>
    <row r="8" spans="1:10" ht="150" customHeight="1" x14ac:dyDescent="0.35">
      <c r="A8" s="22" t="s">
        <v>9</v>
      </c>
      <c r="B8" s="23" t="str">
        <f>IFERROR(_xlfn.XLOOKUP($F$4&amp;" | "&amp;$G$4&amp;" | "&amp;tblModelo[[#This Row],[Disciplinas]],Resumo[Chave],Resumo[Aula]),"")</f>
        <v/>
      </c>
      <c r="C8" s="24" t="str">
        <f>IFERROR(_xlfn.XLOOKUP($F$4&amp;" | "&amp;$G$4&amp;" | "&amp;tblModelo[[#This Row],[Disciplinas]],Resumo[Chave],Resumo[Casa]),"")</f>
        <v/>
      </c>
      <c r="D8" s="24" t="str">
        <f>IFERROR(_xlfn.XLOOKUP($F$4&amp;" | "&amp;$G$4&amp;" | "&amp;tblModelo[[#This Row],[Disciplinas]],Resumo[Chave],Resumo[Avaliativa]),"")</f>
        <v/>
      </c>
    </row>
    <row r="9" spans="1:10" ht="150" customHeight="1" x14ac:dyDescent="0.35">
      <c r="A9" s="22" t="s">
        <v>10</v>
      </c>
      <c r="B9" s="23" t="str">
        <f>IFERROR(_xlfn.XLOOKUP($F$4&amp;" | "&amp;$G$4&amp;" | "&amp;tblModelo[[#This Row],[Disciplinas]],Resumo[Chave],Resumo[Aula]),"")</f>
        <v/>
      </c>
      <c r="C9" s="24" t="str">
        <f>IFERROR(_xlfn.XLOOKUP($F$4&amp;" | "&amp;$G$4&amp;" | "&amp;tblModelo[[#This Row],[Disciplinas]],Resumo[Chave],Resumo[Casa]),"")</f>
        <v/>
      </c>
      <c r="D9" s="24" t="str">
        <f>IFERROR(_xlfn.XLOOKUP($F$4&amp;" | "&amp;$G$4&amp;" | "&amp;tblModelo[[#This Row],[Disciplinas]],Resumo[Chave],Resumo[Avaliativa]),"")</f>
        <v/>
      </c>
    </row>
    <row r="10" spans="1:10" ht="150" customHeight="1" x14ac:dyDescent="0.35">
      <c r="A10" s="22" t="s">
        <v>11</v>
      </c>
      <c r="B10" s="23" t="str">
        <f>IFERROR(_xlfn.XLOOKUP($F$4&amp;" | "&amp;$G$4&amp;" | "&amp;tblModelo[[#This Row],[Disciplinas]],Resumo[Chave],Resumo[Aula]),"")</f>
        <v/>
      </c>
      <c r="C10" s="24" t="str">
        <f>IFERROR(_xlfn.XLOOKUP($F$4&amp;" | "&amp;$G$4&amp;" | "&amp;tblModelo[[#This Row],[Disciplinas]],Resumo[Chave],Resumo[Casa]),"")</f>
        <v/>
      </c>
      <c r="D10" s="24" t="str">
        <f>IFERROR(_xlfn.XLOOKUP($F$4&amp;" | "&amp;$G$4&amp;" | "&amp;tblModelo[[#This Row],[Disciplinas]],Resumo[Chave],Resumo[Avaliativa]),"")</f>
        <v/>
      </c>
    </row>
    <row r="11" spans="1:10" ht="205" customHeight="1" x14ac:dyDescent="0.35">
      <c r="A11" s="22" t="s">
        <v>12</v>
      </c>
      <c r="B11" s="23" t="str">
        <f>IFERROR(_xlfn.XLOOKUP($F$4&amp;" | "&amp;$G$4&amp;" | "&amp;tblModelo[[#This Row],[Disciplinas]],Resumo[Chave],Resumo[Aula]),"")</f>
        <v/>
      </c>
      <c r="C11" s="24" t="str">
        <f>IFERROR(_xlfn.XLOOKUP($F$4&amp;" | "&amp;$G$4&amp;" | "&amp;tblModelo[[#This Row],[Disciplinas]],Resumo[Chave],Resumo[Casa]),"")</f>
        <v/>
      </c>
      <c r="D11" s="24" t="str">
        <f>IFERROR(_xlfn.XLOOKUP($F$4&amp;" | "&amp;$G$4&amp;" | "&amp;tblModelo[[#This Row],[Disciplinas]],Resumo[Chave],Resumo[Avaliativa]),"")</f>
        <v/>
      </c>
    </row>
    <row r="12" spans="1:10" ht="150" customHeight="1" x14ac:dyDescent="0.55000000000000004">
      <c r="A12" s="22" t="s">
        <v>65</v>
      </c>
      <c r="B12" s="25" t="str">
        <f>IFERROR(_xlfn.XLOOKUP($F$4&amp;" | "&amp;$G$4&amp;" | "&amp;tblModelo[[#This Row],[Disciplinas]],Resumo[Chave],Resumo[Aula]),"")</f>
        <v/>
      </c>
      <c r="C12" s="24" t="str">
        <f>IFERROR(_xlfn.XLOOKUP($F$4&amp;" | "&amp;$G$4&amp;" | "&amp;tblModelo[[#This Row],[Disciplinas]],Resumo[Chave],Resumo[Casa]),"")</f>
        <v/>
      </c>
      <c r="D12" s="24" t="str">
        <f>IFERROR(_xlfn.XLOOKUP($F$4&amp;" | "&amp;$G$4&amp;" | "&amp;tblModelo[[#This Row],[Disciplinas]],Resumo[Chave],Resumo[Avaliativa]),"")</f>
        <v/>
      </c>
    </row>
    <row r="13" spans="1:10" ht="150" customHeight="1" x14ac:dyDescent="0.55000000000000004">
      <c r="A13" s="22" t="s">
        <v>66</v>
      </c>
      <c r="B13" s="25" t="str">
        <f>IFERROR(_xlfn.XLOOKUP($F$4&amp;" | "&amp;$G$4&amp;" | "&amp;tblModelo[[#This Row],[Disciplinas]],Resumo[Chave],Resumo[Aula]),"")</f>
        <v/>
      </c>
      <c r="C13" s="24" t="str">
        <f>IFERROR(_xlfn.XLOOKUP($F$4&amp;" | "&amp;$G$4&amp;" | "&amp;tblModelo[[#This Row],[Disciplinas]],Resumo[Chave],Resumo[Casa]),"")</f>
        <v/>
      </c>
      <c r="D13" s="24" t="str">
        <f>IFERROR(_xlfn.XLOOKUP($F$4&amp;" | "&amp;$G$4&amp;" | "&amp;tblModelo[[#This Row],[Disciplinas]],Resumo[Chave],Resumo[Avaliativa]),"")</f>
        <v/>
      </c>
    </row>
    <row r="14" spans="1:10" ht="150" customHeight="1" x14ac:dyDescent="0.55000000000000004">
      <c r="A14" s="22" t="s">
        <v>67</v>
      </c>
      <c r="B14" s="25" t="str">
        <f>IFERROR(_xlfn.XLOOKUP($F$4&amp;" | "&amp;$G$4&amp;" | "&amp;tblModelo[[#This Row],[Disciplinas]],Resumo[Chave],Resumo[Aula]),"")</f>
        <v/>
      </c>
      <c r="C14" s="24" t="str">
        <f>IFERROR(_xlfn.XLOOKUP($F$4&amp;" | "&amp;$G$4&amp;" | "&amp;tblModelo[[#This Row],[Disciplinas]],Resumo[Chave],Resumo[Casa]),"")</f>
        <v/>
      </c>
      <c r="D14" s="24" t="str">
        <f>IFERROR(_xlfn.XLOOKUP($F$4&amp;" | "&amp;$G$4&amp;" | "&amp;tblModelo[[#This Row],[Disciplinas]],Resumo[Chave],Resumo[Avaliativa]),"")</f>
        <v/>
      </c>
      <c r="J14" t="s">
        <v>4</v>
      </c>
    </row>
    <row r="15" spans="1:10" s="11" customFormat="1" ht="150" customHeight="1" x14ac:dyDescent="0.55000000000000004">
      <c r="A15" s="22" t="s">
        <v>68</v>
      </c>
      <c r="B15" s="25" t="str">
        <f>IFERROR(_xlfn.XLOOKUP($F$4&amp;" | "&amp;$G$4&amp;" | "&amp;tblModelo[[#This Row],[Disciplinas]],Resumo[Chave],Resumo[Aula]),"")</f>
        <v/>
      </c>
      <c r="C15" s="24" t="str">
        <f>IFERROR(_xlfn.XLOOKUP($F$4&amp;" | "&amp;$G$4&amp;" | "&amp;tblModelo[[#This Row],[Disciplinas]],Resumo[Chave],Resumo[Casa]),"")</f>
        <v/>
      </c>
      <c r="D15" s="24" t="str">
        <f>IFERROR(_xlfn.XLOOKUP($F$4&amp;" | "&amp;$G$4&amp;" | "&amp;tblModelo[[#This Row],[Disciplinas]],Resumo[Chave],Resumo[Avaliativa]),"")</f>
        <v/>
      </c>
    </row>
    <row r="16" spans="1:10" ht="150" customHeight="1" x14ac:dyDescent="0.55000000000000004">
      <c r="A16" s="26" t="s">
        <v>69</v>
      </c>
      <c r="B16" s="27" t="str">
        <f>IFERROR(_xlfn.XLOOKUP($F$4&amp;" | "&amp;$G$4&amp;" | "&amp;tblModelo[[#This Row],[Disciplinas]],Resumo[Chave],Resumo[Aula]),"")</f>
        <v/>
      </c>
      <c r="C16" s="28" t="str">
        <f>IFERROR(_xlfn.XLOOKUP($F$4&amp;" | "&amp;$G$4&amp;" | "&amp;tblModelo[[#This Row],[Disciplinas]],Resumo[Chave],Resumo[Casa]),"")</f>
        <v/>
      </c>
      <c r="D16" s="28" t="str">
        <f>IFERROR(_xlfn.XLOOKUP($F$4&amp;" | "&amp;$G$4&amp;" | "&amp;tblModelo[[#This Row],[Disciplinas]],Resumo[Chave],Resumo[Avaliativa]),"")</f>
        <v/>
      </c>
    </row>
    <row r="17" spans="1:4" ht="150" customHeight="1" x14ac:dyDescent="0.55000000000000004">
      <c r="A17" s="26" t="s">
        <v>32</v>
      </c>
      <c r="B17" s="27" t="str">
        <f>IFERROR(_xlfn.XLOOKUP($F$4&amp;" | "&amp;$G$4&amp;" | "&amp;tblModelo[[#This Row],[Disciplinas]],Resumo[Chave],Resumo[Aula]),"")</f>
        <v/>
      </c>
      <c r="C17" s="28" t="str">
        <f>IFERROR(_xlfn.XLOOKUP($F$4&amp;" | "&amp;$G$4&amp;" | "&amp;tblModelo[[#This Row],[Disciplinas]],Resumo[Chave],Resumo[Casa]),"")</f>
        <v/>
      </c>
      <c r="D17" s="28" t="str">
        <f>IFERROR(_xlfn.XLOOKUP($F$4&amp;" | "&amp;$G$4&amp;" | "&amp;tblModelo[[#This Row],[Disciplinas]],Resumo[Chave],Resumo[Avaliativa]),"")</f>
        <v/>
      </c>
    </row>
    <row r="18" spans="1:4" ht="150" customHeight="1" x14ac:dyDescent="0.55000000000000004">
      <c r="A18" s="26" t="s">
        <v>70</v>
      </c>
      <c r="B18" s="27" t="str">
        <f>IFERROR(_xlfn.XLOOKUP($F$4&amp;" | "&amp;$G$4&amp;" | "&amp;tblModelo[[#This Row],[Disciplinas]],Resumo[Chave],Resumo[Aula]),"")</f>
        <v/>
      </c>
      <c r="C18" s="28" t="str">
        <f>IFERROR(_xlfn.XLOOKUP($F$4&amp;" | "&amp;$G$4&amp;" | "&amp;tblModelo[[#This Row],[Disciplinas]],Resumo[Chave],Resumo[Casa]),"")</f>
        <v/>
      </c>
      <c r="D18" s="28" t="str">
        <f>IFERROR(_xlfn.XLOOKUP($F$4&amp;" | "&amp;$G$4&amp;" | "&amp;tblModelo[[#This Row],[Disciplinas]],Resumo[Chave],Resumo[Avaliativa]),"")</f>
        <v/>
      </c>
    </row>
    <row r="19" spans="1:4" ht="150" customHeight="1" thickBot="1" x14ac:dyDescent="0.4">
      <c r="A19" s="14" t="s">
        <v>69</v>
      </c>
      <c r="B19" s="15" t="str">
        <f>IFERROR(_xlfn.XLOOKUP($F$4&amp;"|"&amp;$G$4&amp;"|"&amp;tblModelo[[#This Row],[Disciplinas]],Resumo[Chave],Resumo[Aula]),"")</f>
        <v/>
      </c>
      <c r="C19" s="16" t="str">
        <f>IFERROR(_xlfn.XLOOKUP($F$4&amp;"|"&amp;$G$4&amp;"|"&amp;tblModelo[[#This Row],[Disciplinas]],Resumo[Chave],Resumo[Casa]),"")</f>
        <v/>
      </c>
      <c r="D19" s="17" t="str">
        <f>IFERROR(_xlfn.XLOOKUP($F$4&amp;"|"&amp;$G$4&amp;"|"&amp;tblModelo[[#This Row],[Disciplinas]],Resumo[Chave],Resumo[Avaliativa]),"")</f>
        <v/>
      </c>
    </row>
    <row r="20" spans="1:4" ht="57.5" thickBot="1" x14ac:dyDescent="0.4">
      <c r="A20" s="7" t="s">
        <v>32</v>
      </c>
      <c r="B20" s="13" t="str">
        <f>IFERROR(_xlfn.XLOOKUP($F$4&amp;"|"&amp;$G$4&amp;"|"&amp;tblModelo[[#This Row],[Disciplinas]],Resumo[Chave],Resumo[Aula]),"")</f>
        <v/>
      </c>
      <c r="C20" s="5" t="str">
        <f>IFERROR(_xlfn.XLOOKUP($F$4&amp;"|"&amp;$G$4&amp;"|"&amp;tblModelo[[#This Row],[Disciplinas]],Resumo[Chave],Resumo[Casa]),"")</f>
        <v/>
      </c>
      <c r="D20" s="6" t="str">
        <f>IFERROR(_xlfn.XLOOKUP($F$4&amp;"|"&amp;$G$4&amp;"|"&amp;tblModelo[[#This Row],[Disciplinas]],Resumo[Chave],Resumo[Avaliativa]),"")</f>
        <v/>
      </c>
    </row>
    <row r="21" spans="1:4" ht="28.5" x14ac:dyDescent="0.35">
      <c r="A21" s="8" t="s">
        <v>70</v>
      </c>
      <c r="B21" s="13" t="str">
        <f>IFERROR(_xlfn.XLOOKUP($F$4&amp;"|"&amp;$G$4&amp;"|"&amp;tblModelo[[#This Row],[Disciplinas]],Resumo[Chave],Resumo[Aula]),"")</f>
        <v/>
      </c>
      <c r="C21" s="5" t="str">
        <f>IFERROR(_xlfn.XLOOKUP($F$4&amp;"|"&amp;$G$4&amp;"|"&amp;tblModelo[[#This Row],[Disciplinas]],Resumo[Chave],Resumo[Casa]),"")</f>
        <v/>
      </c>
      <c r="D21" s="6" t="str">
        <f>IFERROR(_xlfn.XLOOKUP($F$4&amp;"|"&amp;$G$4&amp;"|"&amp;tblModelo[[#This Row],[Disciplinas]],Resumo[Chave],Resumo[Avaliativa]),"")</f>
        <v/>
      </c>
    </row>
    <row r="22" spans="1:4" ht="28.5" x14ac:dyDescent="0.35">
      <c r="A22" s="9"/>
      <c r="B22" s="10"/>
      <c r="C22" s="11"/>
    </row>
    <row r="23" spans="1:4" x14ac:dyDescent="0.35">
      <c r="C23" s="11"/>
    </row>
    <row r="24" spans="1:4" x14ac:dyDescent="0.35">
      <c r="C24" s="1"/>
    </row>
  </sheetData>
  <mergeCells count="2">
    <mergeCell ref="A1:D1"/>
    <mergeCell ref="B2:D2"/>
  </mergeCells>
  <printOptions horizontalCentered="1"/>
  <pageMargins left="0.25" right="0.25" top="0.4" bottom="0.4" header="3.937007874015748E-2" footer="3.937007874015748E-2"/>
  <pageSetup paperSize="9" scale="29" orientation="portrait" r:id="rId1"/>
  <rowBreaks count="2" manualBreakCount="2">
    <brk id="8" max="3" man="1"/>
    <brk id="13" max="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rarPDFs_SemanaAtual_ComSubpasta">
                <anchor moveWithCells="1">
                  <from>
                    <xdr:col>6</xdr:col>
                    <xdr:colOff>1117600</xdr:colOff>
                    <xdr:row>3</xdr:row>
                    <xdr:rowOff>1828800</xdr:rowOff>
                  </from>
                  <to>
                    <xdr:col>8</xdr:col>
                    <xdr:colOff>381000</xdr:colOff>
                    <xdr:row>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GerarPDF_TurmaSemana_Selecionadas">
                <anchor moveWithCells="1">
                  <from>
                    <xdr:col>5</xdr:col>
                    <xdr:colOff>190500</xdr:colOff>
                    <xdr:row>4</xdr:row>
                    <xdr:rowOff>1276350</xdr:rowOff>
                  </from>
                  <to>
                    <xdr:col>6</xdr:col>
                    <xdr:colOff>914400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GerarPDFs_ProximaSemana_ComSubpasta">
                <anchor moveWithCells="1" sizeWithCells="1">
                  <from>
                    <xdr:col>5</xdr:col>
                    <xdr:colOff>50800</xdr:colOff>
                    <xdr:row>3</xdr:row>
                    <xdr:rowOff>1809750</xdr:rowOff>
                  </from>
                  <to>
                    <xdr:col>6</xdr:col>
                    <xdr:colOff>647700</xdr:colOff>
                    <xdr:row>4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SelecionarPastaPDFs">
                <anchor moveWithCells="1">
                  <from>
                    <xdr:col>5</xdr:col>
                    <xdr:colOff>127000</xdr:colOff>
                    <xdr:row>0</xdr:row>
                    <xdr:rowOff>400050</xdr:rowOff>
                  </from>
                  <to>
                    <xdr:col>6</xdr:col>
                    <xdr:colOff>1631950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241F6-02B1-4E98-8EC3-7B00BDD91C78}">
          <x14:formula1>
            <xm:f>padrao!$A$1:$A$33</xm:f>
          </x14:formula1>
          <xm:sqref>F4</xm:sqref>
        </x14:dataValidation>
        <x14:dataValidation type="list" allowBlank="1" showInputMessage="1" showErrorMessage="1" xr:uid="{BD96A41C-AB98-438C-87E4-0D9C3042A126}">
          <x14:formula1>
            <xm:f>padrao!$C$1:$C$47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D514-4B64-4A50-A79D-E6B77612582F}">
  <sheetPr codeName="Planilha2"/>
  <dimension ref="A1:J79"/>
  <sheetViews>
    <sheetView topLeftCell="D1" zoomScale="55" zoomScaleNormal="55" workbookViewId="0">
      <selection activeCell="I2" sqref="I2"/>
    </sheetView>
  </sheetViews>
  <sheetFormatPr defaultRowHeight="14.5" x14ac:dyDescent="0.35"/>
  <cols>
    <col min="1" max="1" width="11.6328125" bestFit="1" customWidth="1"/>
    <col min="2" max="2" width="18.6328125" bestFit="1" customWidth="1"/>
    <col min="3" max="3" width="16.26953125" bestFit="1" customWidth="1"/>
    <col min="4" max="4" width="15" bestFit="1" customWidth="1"/>
    <col min="5" max="5" width="24.90625" bestFit="1" customWidth="1"/>
    <col min="6" max="6" width="22.36328125" bestFit="1" customWidth="1"/>
    <col min="7" max="8" width="80.7265625" bestFit="1" customWidth="1"/>
    <col min="9" max="9" width="58.6328125" bestFit="1" customWidth="1"/>
    <col min="10" max="10" width="80.7265625" bestFit="1" customWidth="1"/>
  </cols>
  <sheetData>
    <row r="1" spans="1:10" x14ac:dyDescent="0.35">
      <c r="A1" t="s">
        <v>18</v>
      </c>
      <c r="B1" t="s">
        <v>57</v>
      </c>
      <c r="C1" t="s">
        <v>58</v>
      </c>
      <c r="D1" t="s">
        <v>59</v>
      </c>
      <c r="E1" t="s">
        <v>60</v>
      </c>
      <c r="F1" t="s">
        <v>5</v>
      </c>
      <c r="G1" t="s">
        <v>61</v>
      </c>
      <c r="H1" t="s">
        <v>62</v>
      </c>
      <c r="I1" t="s">
        <v>64</v>
      </c>
      <c r="J1" t="s">
        <v>63</v>
      </c>
    </row>
    <row r="2" spans="1:10" x14ac:dyDescent="0.35">
      <c r="A2" t="s">
        <v>24</v>
      </c>
      <c r="B2">
        <v>2</v>
      </c>
      <c r="C2" s="3">
        <v>46027</v>
      </c>
      <c r="D2" s="3">
        <v>46031</v>
      </c>
      <c r="E2" t="s">
        <v>82</v>
      </c>
      <c r="F2" t="s">
        <v>6</v>
      </c>
      <c r="G2" t="s">
        <v>83</v>
      </c>
      <c r="H2" t="s">
        <v>84</v>
      </c>
      <c r="I2" t="str">
        <f>Resumo[[#This Row],[Turma:]] &amp; " | " &amp; Resumo[[#This Row],[TextoSemana]] &amp; " | " &amp; Resumo[[#This Row],[Disciplina:]]</f>
        <v>6º ano A | Semana 2 - 05/jan a 09/jan | Língua Portuguesa</v>
      </c>
      <c r="J2" t="s">
        <v>85</v>
      </c>
    </row>
    <row r="3" spans="1:10" x14ac:dyDescent="0.35">
      <c r="A3" t="s">
        <v>25</v>
      </c>
      <c r="B3">
        <v>2</v>
      </c>
      <c r="C3" s="3">
        <v>46027</v>
      </c>
      <c r="D3" s="3">
        <v>46031</v>
      </c>
      <c r="E3" t="s">
        <v>82</v>
      </c>
      <c r="F3" t="s">
        <v>6</v>
      </c>
      <c r="G3" t="s">
        <v>83</v>
      </c>
      <c r="H3" t="s">
        <v>84</v>
      </c>
      <c r="I3" t="str">
        <f>Resumo[[#This Row],[Turma:]] &amp; " | " &amp; Resumo[[#This Row],[TextoSemana]] &amp; " | " &amp; Resumo[[#This Row],[Disciplina:]]</f>
        <v>6º ano B | Semana 2 - 05/jan a 09/jan | Língua Portuguesa</v>
      </c>
      <c r="J3" t="s">
        <v>85</v>
      </c>
    </row>
    <row r="4" spans="1:10" x14ac:dyDescent="0.35">
      <c r="A4" t="s">
        <v>26</v>
      </c>
      <c r="B4">
        <v>2</v>
      </c>
      <c r="C4" s="3">
        <v>46027</v>
      </c>
      <c r="D4" s="3">
        <v>46031</v>
      </c>
      <c r="E4" t="s">
        <v>82</v>
      </c>
      <c r="F4" t="s">
        <v>6</v>
      </c>
      <c r="G4" t="s">
        <v>83</v>
      </c>
      <c r="H4" t="s">
        <v>84</v>
      </c>
      <c r="I4" t="str">
        <f>Resumo[[#This Row],[Turma:]] &amp; " | " &amp; Resumo[[#This Row],[TextoSemana]] &amp; " | " &amp; Resumo[[#This Row],[Disciplina:]]</f>
        <v>6º ano C | Semana 2 - 05/jan a 09/jan | Língua Portuguesa</v>
      </c>
      <c r="J4" t="s">
        <v>85</v>
      </c>
    </row>
    <row r="5" spans="1:10" x14ac:dyDescent="0.35">
      <c r="A5" t="s">
        <v>26</v>
      </c>
      <c r="B5">
        <v>2</v>
      </c>
      <c r="C5" s="3">
        <v>46027</v>
      </c>
      <c r="D5" s="3">
        <v>46031</v>
      </c>
      <c r="E5" t="s">
        <v>82</v>
      </c>
      <c r="F5" t="s">
        <v>13</v>
      </c>
      <c r="G5" t="s">
        <v>89</v>
      </c>
      <c r="H5" t="s">
        <v>90</v>
      </c>
      <c r="I5" t="str">
        <f>Resumo[[#This Row],[Turma:]] &amp; " | " &amp; Resumo[[#This Row],[TextoSemana]] &amp; " | " &amp; Resumo[[#This Row],[Disciplina:]]</f>
        <v>6º ano C | Semana 2 - 05/jan a 09/jan | Ciências da Natureza</v>
      </c>
      <c r="J5" t="s">
        <v>91</v>
      </c>
    </row>
    <row r="6" spans="1:10" x14ac:dyDescent="0.35">
      <c r="A6" t="s">
        <v>38</v>
      </c>
      <c r="B6">
        <v>8</v>
      </c>
      <c r="C6" s="3">
        <v>46069</v>
      </c>
      <c r="D6" s="3">
        <v>46073</v>
      </c>
      <c r="E6" t="s">
        <v>94</v>
      </c>
      <c r="F6" t="s">
        <v>12</v>
      </c>
      <c r="G6" t="s">
        <v>95</v>
      </c>
      <c r="H6" t="s">
        <v>96</v>
      </c>
      <c r="I6" t="str">
        <f>Resumo[[#This Row],[Turma:]] &amp; " | " &amp; Resumo[[#This Row],[TextoSemana]] &amp; " | " &amp; Resumo[[#This Row],[Disciplina:]]</f>
        <v>8º ano A | Semana 8 - 16/fev a 20/fev | Matemática</v>
      </c>
      <c r="J6" t="s">
        <v>97</v>
      </c>
    </row>
    <row r="7" spans="1:10" x14ac:dyDescent="0.35">
      <c r="A7" t="s">
        <v>39</v>
      </c>
      <c r="B7">
        <v>8</v>
      </c>
      <c r="C7" s="3">
        <v>46069</v>
      </c>
      <c r="D7" s="3">
        <v>46073</v>
      </c>
      <c r="E7" t="s">
        <v>94</v>
      </c>
      <c r="F7" t="s">
        <v>12</v>
      </c>
      <c r="G7" t="s">
        <v>95</v>
      </c>
      <c r="H7" t="s">
        <v>96</v>
      </c>
      <c r="I7" t="str">
        <f>Resumo[[#This Row],[Turma:]] &amp; " | " &amp; Resumo[[#This Row],[TextoSemana]] &amp; " | " &amp; Resumo[[#This Row],[Disciplina:]]</f>
        <v>8º ano B | Semana 8 - 16/fev a 20/fev | Matemática</v>
      </c>
      <c r="J7" t="s">
        <v>97</v>
      </c>
    </row>
    <row r="8" spans="1:10" x14ac:dyDescent="0.35">
      <c r="A8" t="s">
        <v>40</v>
      </c>
      <c r="B8">
        <v>8</v>
      </c>
      <c r="C8" s="3">
        <v>46069</v>
      </c>
      <c r="D8" s="3">
        <v>46073</v>
      </c>
      <c r="E8" t="s">
        <v>94</v>
      </c>
      <c r="F8" t="s">
        <v>12</v>
      </c>
      <c r="G8" t="s">
        <v>95</v>
      </c>
      <c r="H8" t="s">
        <v>96</v>
      </c>
      <c r="I8" t="str">
        <f>Resumo[[#This Row],[Turma:]] &amp; " | " &amp; Resumo[[#This Row],[TextoSemana]] &amp; " | " &amp; Resumo[[#This Row],[Disciplina:]]</f>
        <v>8º ano C | Semana 8 - 16/fev a 20/fev | Matemática</v>
      </c>
      <c r="J8" t="s">
        <v>97</v>
      </c>
    </row>
    <row r="9" spans="1:10" x14ac:dyDescent="0.35">
      <c r="A9" t="s">
        <v>41</v>
      </c>
      <c r="B9">
        <v>8</v>
      </c>
      <c r="C9" s="3">
        <v>46069</v>
      </c>
      <c r="D9" s="3">
        <v>46073</v>
      </c>
      <c r="E9" t="s">
        <v>94</v>
      </c>
      <c r="F9" t="s">
        <v>12</v>
      </c>
      <c r="G9" t="s">
        <v>95</v>
      </c>
      <c r="H9" t="s">
        <v>96</v>
      </c>
      <c r="I9" t="str">
        <f>Resumo[[#This Row],[Turma:]] &amp; " | " &amp; Resumo[[#This Row],[TextoSemana]] &amp; " | " &amp; Resumo[[#This Row],[Disciplina:]]</f>
        <v>8º ano D | Semana 8 - 16/fev a 20/fev | Matemática</v>
      </c>
      <c r="J9" t="s">
        <v>97</v>
      </c>
    </row>
    <row r="10" spans="1:10" x14ac:dyDescent="0.35">
      <c r="A10" t="s">
        <v>42</v>
      </c>
      <c r="B10">
        <v>7</v>
      </c>
      <c r="C10" s="3">
        <v>46062</v>
      </c>
      <c r="D10" s="3">
        <v>46066</v>
      </c>
      <c r="E10" t="s">
        <v>98</v>
      </c>
      <c r="F10" t="s">
        <v>6</v>
      </c>
      <c r="G10" t="s">
        <v>99</v>
      </c>
      <c r="H10" t="s">
        <v>100</v>
      </c>
      <c r="I10" t="str">
        <f>Resumo[[#This Row],[Turma:]] &amp; " | " &amp; Resumo[[#This Row],[TextoSemana]] &amp; " | " &amp; Resumo[[#This Row],[Disciplina:]]</f>
        <v>9º ano A | Semana 7 - 09/fev a 13/fev | Língua Portuguesa</v>
      </c>
      <c r="J10" t="s">
        <v>101</v>
      </c>
    </row>
    <row r="11" spans="1:10" x14ac:dyDescent="0.35">
      <c r="A11" t="s">
        <v>43</v>
      </c>
      <c r="B11">
        <v>7</v>
      </c>
      <c r="C11" s="3">
        <v>46062</v>
      </c>
      <c r="D11" s="3">
        <v>46066</v>
      </c>
      <c r="E11" t="s">
        <v>98</v>
      </c>
      <c r="F11" t="s">
        <v>6</v>
      </c>
      <c r="G11" t="s">
        <v>102</v>
      </c>
      <c r="H11" t="s">
        <v>100</v>
      </c>
      <c r="I11" t="str">
        <f>Resumo[[#This Row],[Turma:]] &amp; " | " &amp; Resumo[[#This Row],[TextoSemana]] &amp; " | " &amp; Resumo[[#This Row],[Disciplina:]]</f>
        <v>9º ano B | Semana 7 - 09/fev a 13/fev | Língua Portuguesa</v>
      </c>
      <c r="J11" t="s">
        <v>101</v>
      </c>
    </row>
    <row r="12" spans="1:10" x14ac:dyDescent="0.35">
      <c r="A12" t="s">
        <v>44</v>
      </c>
      <c r="B12">
        <v>7</v>
      </c>
      <c r="C12" s="3">
        <v>46062</v>
      </c>
      <c r="D12" s="3">
        <v>46066</v>
      </c>
      <c r="E12" t="s">
        <v>98</v>
      </c>
      <c r="F12" t="s">
        <v>6</v>
      </c>
      <c r="G12" t="s">
        <v>102</v>
      </c>
      <c r="H12" t="s">
        <v>100</v>
      </c>
      <c r="I12" t="str">
        <f>Resumo[[#This Row],[Turma:]] &amp; " | " &amp; Resumo[[#This Row],[TextoSemana]] &amp; " | " &amp; Resumo[[#This Row],[Disciplina:]]</f>
        <v>9º ano C | Semana 7 - 09/fev a 13/fev | Língua Portuguesa</v>
      </c>
      <c r="J12" t="s">
        <v>101</v>
      </c>
    </row>
    <row r="13" spans="1:10" x14ac:dyDescent="0.35">
      <c r="A13" t="s">
        <v>45</v>
      </c>
      <c r="B13">
        <v>7</v>
      </c>
      <c r="C13" s="3">
        <v>46062</v>
      </c>
      <c r="D13" s="3">
        <v>46066</v>
      </c>
      <c r="E13" t="s">
        <v>98</v>
      </c>
      <c r="F13" t="s">
        <v>6</v>
      </c>
      <c r="G13" t="s">
        <v>102</v>
      </c>
      <c r="H13" t="s">
        <v>100</v>
      </c>
      <c r="I13" t="str">
        <f>Resumo[[#This Row],[Turma:]] &amp; " | " &amp; Resumo[[#This Row],[TextoSemana]] &amp; " | " &amp; Resumo[[#This Row],[Disciplina:]]</f>
        <v>9º ano D | Semana 7 - 09/fev a 13/fev | Língua Portuguesa</v>
      </c>
      <c r="J13" t="s">
        <v>101</v>
      </c>
    </row>
    <row r="14" spans="1:10" x14ac:dyDescent="0.35">
      <c r="A14" t="s">
        <v>26</v>
      </c>
      <c r="B14">
        <v>7</v>
      </c>
      <c r="C14" s="3">
        <v>46062</v>
      </c>
      <c r="D14" s="3">
        <v>46066</v>
      </c>
      <c r="E14" t="s">
        <v>98</v>
      </c>
      <c r="F14" t="s">
        <v>6</v>
      </c>
      <c r="G14" t="s">
        <v>102</v>
      </c>
      <c r="H14" t="s">
        <v>100</v>
      </c>
      <c r="I14" t="str">
        <f>Resumo[[#This Row],[Turma:]] &amp; " | " &amp; Resumo[[#This Row],[TextoSemana]] &amp; " | " &amp; Resumo[[#This Row],[Disciplina:]]</f>
        <v>6º ano C | Semana 7 - 09/fev a 13/fev | Língua Portuguesa</v>
      </c>
      <c r="J14" t="s">
        <v>101</v>
      </c>
    </row>
    <row r="15" spans="1:10" x14ac:dyDescent="0.35">
      <c r="A15" t="s">
        <v>46</v>
      </c>
      <c r="B15">
        <v>7</v>
      </c>
      <c r="C15" s="3">
        <v>46062</v>
      </c>
      <c r="D15" s="3">
        <v>46066</v>
      </c>
      <c r="E15" t="s">
        <v>98</v>
      </c>
      <c r="F15" t="s">
        <v>6</v>
      </c>
      <c r="G15" t="s">
        <v>102</v>
      </c>
      <c r="H15" t="s">
        <v>100</v>
      </c>
      <c r="I15" t="str">
        <f>Resumo[[#This Row],[Turma:]] &amp; " | " &amp; Resumo[[#This Row],[TextoSemana]] &amp; " | " &amp; Resumo[[#This Row],[Disciplina:]]</f>
        <v>9º ano E | Semana 7 - 09/fev a 13/fev | Língua Portuguesa</v>
      </c>
      <c r="J15" t="s">
        <v>101</v>
      </c>
    </row>
    <row r="16" spans="1:10" x14ac:dyDescent="0.35">
      <c r="A16" t="s">
        <v>33</v>
      </c>
      <c r="B16">
        <v>3</v>
      </c>
      <c r="C16" s="3">
        <v>46034</v>
      </c>
      <c r="D16" s="3">
        <v>46038</v>
      </c>
      <c r="E16" t="s">
        <v>103</v>
      </c>
      <c r="F16" t="s">
        <v>6</v>
      </c>
      <c r="G16" t="s">
        <v>104</v>
      </c>
      <c r="H16" t="s">
        <v>105</v>
      </c>
      <c r="I16" t="str">
        <f>Resumo[[#This Row],[Turma:]] &amp; " | " &amp; Resumo[[#This Row],[TextoSemana]] &amp; " | " &amp; Resumo[[#This Row],[Disciplina:]]</f>
        <v>1º ano A - EM | Semana 3 - 12/jan a 16/jan | Língua Portuguesa</v>
      </c>
      <c r="J16" t="s">
        <v>106</v>
      </c>
    </row>
    <row r="17" spans="1:10" x14ac:dyDescent="0.35">
      <c r="A17" t="s">
        <v>34</v>
      </c>
      <c r="B17">
        <v>3</v>
      </c>
      <c r="C17" s="3">
        <v>46034</v>
      </c>
      <c r="D17" s="3">
        <v>46038</v>
      </c>
      <c r="E17" t="s">
        <v>103</v>
      </c>
      <c r="F17" t="s">
        <v>6</v>
      </c>
      <c r="G17" t="s">
        <v>104</v>
      </c>
      <c r="H17" t="s">
        <v>105</v>
      </c>
      <c r="I17" t="str">
        <f>Resumo[[#This Row],[Turma:]] &amp; " | " &amp; Resumo[[#This Row],[TextoSemana]] &amp; " | " &amp; Resumo[[#This Row],[Disciplina:]]</f>
        <v>1º ano B - EM | Semana 3 - 12/jan a 16/jan | Língua Portuguesa</v>
      </c>
      <c r="J17" t="s">
        <v>106</v>
      </c>
    </row>
    <row r="18" spans="1:10" x14ac:dyDescent="0.35">
      <c r="A18" t="s">
        <v>35</v>
      </c>
      <c r="B18">
        <v>3</v>
      </c>
      <c r="C18" s="3">
        <v>46034</v>
      </c>
      <c r="D18" s="3">
        <v>46038</v>
      </c>
      <c r="E18" t="s">
        <v>103</v>
      </c>
      <c r="F18" t="s">
        <v>6</v>
      </c>
      <c r="G18" t="s">
        <v>104</v>
      </c>
      <c r="H18" t="s">
        <v>105</v>
      </c>
      <c r="I18" t="str">
        <f>Resumo[[#This Row],[Turma:]] &amp; " | " &amp; Resumo[[#This Row],[TextoSemana]] &amp; " | " &amp; Resumo[[#This Row],[Disciplina:]]</f>
        <v>1º ano C - EM | Semana 3 - 12/jan a 16/jan | Língua Portuguesa</v>
      </c>
      <c r="J18" t="s">
        <v>106</v>
      </c>
    </row>
    <row r="19" spans="1:10" x14ac:dyDescent="0.35">
      <c r="A19" t="s">
        <v>36</v>
      </c>
      <c r="B19">
        <v>3</v>
      </c>
      <c r="C19" s="3">
        <v>46034</v>
      </c>
      <c r="D19" s="3">
        <v>46038</v>
      </c>
      <c r="E19" t="s">
        <v>103</v>
      </c>
      <c r="F19" t="s">
        <v>6</v>
      </c>
      <c r="G19" t="s">
        <v>104</v>
      </c>
      <c r="H19" t="s">
        <v>105</v>
      </c>
      <c r="I19" t="str">
        <f>Resumo[[#This Row],[Turma:]] &amp; " | " &amp; Resumo[[#This Row],[TextoSemana]] &amp; " | " &amp; Resumo[[#This Row],[Disciplina:]]</f>
        <v>1º ano D - EM | Semana 3 - 12/jan a 16/jan | Língua Portuguesa</v>
      </c>
      <c r="J19" t="s">
        <v>106</v>
      </c>
    </row>
    <row r="20" spans="1:10" x14ac:dyDescent="0.35">
      <c r="A20" t="s">
        <v>37</v>
      </c>
      <c r="B20">
        <v>3</v>
      </c>
      <c r="C20" s="3">
        <v>46034</v>
      </c>
      <c r="D20" s="3">
        <v>46038</v>
      </c>
      <c r="E20" t="s">
        <v>103</v>
      </c>
      <c r="F20" t="s">
        <v>6</v>
      </c>
      <c r="G20" t="s">
        <v>104</v>
      </c>
      <c r="H20" t="s">
        <v>105</v>
      </c>
      <c r="I20" t="str">
        <f>Resumo[[#This Row],[Turma:]] &amp; " | " &amp; Resumo[[#This Row],[TextoSemana]] &amp; " | " &amp; Resumo[[#This Row],[Disciplina:]]</f>
        <v>1º ano E - EM | Semana 3 - 12/jan a 16/jan | Língua Portuguesa</v>
      </c>
      <c r="J20" t="s">
        <v>106</v>
      </c>
    </row>
    <row r="21" spans="1:10" x14ac:dyDescent="0.35">
      <c r="A21" t="s">
        <v>47</v>
      </c>
      <c r="B21">
        <v>3</v>
      </c>
      <c r="C21" s="3">
        <v>46034</v>
      </c>
      <c r="D21" s="3">
        <v>46038</v>
      </c>
      <c r="E21" t="s">
        <v>103</v>
      </c>
      <c r="F21" t="s">
        <v>6</v>
      </c>
      <c r="G21" t="s">
        <v>107</v>
      </c>
      <c r="H21" t="s">
        <v>108</v>
      </c>
      <c r="I21" t="str">
        <f>Resumo[[#This Row],[Turma:]] &amp; " | " &amp; Resumo[[#This Row],[TextoSemana]] &amp; " | " &amp; Resumo[[#This Row],[Disciplina:]]</f>
        <v>2º ano A - EM | Semana 3 - 12/jan a 16/jan | Língua Portuguesa</v>
      </c>
      <c r="J21" t="s">
        <v>109</v>
      </c>
    </row>
    <row r="22" spans="1:10" x14ac:dyDescent="0.35">
      <c r="A22" t="s">
        <v>48</v>
      </c>
      <c r="B22">
        <v>3</v>
      </c>
      <c r="C22" s="3">
        <v>46034</v>
      </c>
      <c r="D22" s="3">
        <v>46038</v>
      </c>
      <c r="E22" t="s">
        <v>103</v>
      </c>
      <c r="F22" t="s">
        <v>6</v>
      </c>
      <c r="G22" t="s">
        <v>107</v>
      </c>
      <c r="H22" t="s">
        <v>108</v>
      </c>
      <c r="I22" t="str">
        <f>Resumo[[#This Row],[Turma:]] &amp; " | " &amp; Resumo[[#This Row],[TextoSemana]] &amp; " | " &amp; Resumo[[#This Row],[Disciplina:]]</f>
        <v>2º ano B - EM | Semana 3 - 12/jan a 16/jan | Língua Portuguesa</v>
      </c>
      <c r="J22" t="s">
        <v>109</v>
      </c>
    </row>
    <row r="23" spans="1:10" x14ac:dyDescent="0.35">
      <c r="A23" t="s">
        <v>34</v>
      </c>
      <c r="B23">
        <v>3</v>
      </c>
      <c r="C23" s="3">
        <v>46034</v>
      </c>
      <c r="D23" s="3">
        <v>46038</v>
      </c>
      <c r="E23" t="s">
        <v>103</v>
      </c>
      <c r="F23" t="s">
        <v>32</v>
      </c>
      <c r="G23" t="s">
        <v>110</v>
      </c>
      <c r="H23" t="s">
        <v>111</v>
      </c>
      <c r="I23" t="str">
        <f>Resumo[[#This Row],[Turma:]] &amp; " | " &amp; Resumo[[#This Row],[TextoSemana]] &amp; " | " &amp; Resumo[[#This Row],[Disciplina:]]</f>
        <v>1º ano B - EM | Semana 3 - 12/jan a 16/jan | Trilha de Produção Textual</v>
      </c>
      <c r="J23" t="s">
        <v>106</v>
      </c>
    </row>
    <row r="24" spans="1:10" x14ac:dyDescent="0.35">
      <c r="A24" t="s">
        <v>28</v>
      </c>
      <c r="B24">
        <v>1</v>
      </c>
      <c r="C24" s="3">
        <v>46020</v>
      </c>
      <c r="D24" s="3">
        <v>46024</v>
      </c>
      <c r="E24" t="s">
        <v>112</v>
      </c>
      <c r="F24" t="s">
        <v>12</v>
      </c>
      <c r="G24" t="s">
        <v>113</v>
      </c>
      <c r="H24" t="s">
        <v>114</v>
      </c>
      <c r="I24" t="str">
        <f>Resumo[[#This Row],[Turma:]] &amp; " | " &amp; Resumo[[#This Row],[TextoSemana]] &amp; " | " &amp; Resumo[[#This Row],[Disciplina:]]</f>
        <v>7º ano A | Semana 1 - 29/dez a 02/jan | Matemática</v>
      </c>
      <c r="J24" t="s">
        <v>115</v>
      </c>
    </row>
    <row r="25" spans="1:10" x14ac:dyDescent="0.35">
      <c r="A25" t="s">
        <v>24</v>
      </c>
      <c r="B25">
        <v>2</v>
      </c>
      <c r="C25" s="3">
        <v>46027</v>
      </c>
      <c r="D25" s="3">
        <v>46031</v>
      </c>
      <c r="E25" t="s">
        <v>82</v>
      </c>
      <c r="F25" t="s">
        <v>12</v>
      </c>
      <c r="G25" t="s">
        <v>116</v>
      </c>
      <c r="H25" t="s">
        <v>117</v>
      </c>
      <c r="I25" t="str">
        <f>Resumo[[#This Row],[Turma:]] &amp; " | " &amp; Resumo[[#This Row],[TextoSemana]] &amp; " | " &amp; Resumo[[#This Row],[Disciplina:]]</f>
        <v>6º ano A | Semana 2 - 05/jan a 09/jan | Matemática</v>
      </c>
      <c r="J25" t="s">
        <v>118</v>
      </c>
    </row>
    <row r="26" spans="1:10" x14ac:dyDescent="0.35">
      <c r="A26" t="s">
        <v>25</v>
      </c>
      <c r="B26">
        <v>2</v>
      </c>
      <c r="C26" s="3">
        <v>46027</v>
      </c>
      <c r="D26" s="3">
        <v>46031</v>
      </c>
      <c r="E26" t="s">
        <v>82</v>
      </c>
      <c r="F26" t="s">
        <v>12</v>
      </c>
      <c r="G26" t="s">
        <v>116</v>
      </c>
      <c r="H26" t="s">
        <v>117</v>
      </c>
      <c r="I26" t="str">
        <f>Resumo[[#This Row],[Turma:]] &amp; " | " &amp; Resumo[[#This Row],[TextoSemana]] &amp; " | " &amp; Resumo[[#This Row],[Disciplina:]]</f>
        <v>6º ano B | Semana 2 - 05/jan a 09/jan | Matemática</v>
      </c>
      <c r="J26" t="s">
        <v>118</v>
      </c>
    </row>
    <row r="27" spans="1:10" x14ac:dyDescent="0.35">
      <c r="A27" t="s">
        <v>26</v>
      </c>
      <c r="B27">
        <v>2</v>
      </c>
      <c r="C27" s="3">
        <v>46027</v>
      </c>
      <c r="D27" s="3">
        <v>46031</v>
      </c>
      <c r="E27" t="s">
        <v>82</v>
      </c>
      <c r="F27" t="s">
        <v>12</v>
      </c>
      <c r="G27" t="s">
        <v>116</v>
      </c>
      <c r="H27" t="s">
        <v>117</v>
      </c>
      <c r="I27" t="str">
        <f>Resumo[[#This Row],[Turma:]] &amp; " | " &amp; Resumo[[#This Row],[TextoSemana]] &amp; " | " &amp; Resumo[[#This Row],[Disciplina:]]</f>
        <v>6º ano C | Semana 2 - 05/jan a 09/jan | Matemática</v>
      </c>
      <c r="J27" t="s">
        <v>118</v>
      </c>
    </row>
    <row r="28" spans="1:10" x14ac:dyDescent="0.35">
      <c r="A28" t="s">
        <v>27</v>
      </c>
      <c r="B28">
        <v>2</v>
      </c>
      <c r="C28" s="3">
        <v>46027</v>
      </c>
      <c r="D28" s="3">
        <v>46031</v>
      </c>
      <c r="E28" t="s">
        <v>82</v>
      </c>
      <c r="F28" t="s">
        <v>12</v>
      </c>
      <c r="G28" t="s">
        <v>116</v>
      </c>
      <c r="H28" t="s">
        <v>117</v>
      </c>
      <c r="I28" t="str">
        <f>Resumo[[#This Row],[Turma:]] &amp; " | " &amp; Resumo[[#This Row],[TextoSemana]] &amp; " | " &amp; Resumo[[#This Row],[Disciplina:]]</f>
        <v>6º ano D | Semana 2 - 05/jan a 09/jan | Matemática</v>
      </c>
      <c r="J28" t="s">
        <v>118</v>
      </c>
    </row>
    <row r="29" spans="1:10" x14ac:dyDescent="0.35">
      <c r="A29" t="s">
        <v>42</v>
      </c>
      <c r="B29">
        <v>8</v>
      </c>
      <c r="C29" s="3">
        <v>46069</v>
      </c>
      <c r="D29" s="3">
        <v>46073</v>
      </c>
      <c r="E29" t="s">
        <v>94</v>
      </c>
      <c r="F29" t="s">
        <v>8</v>
      </c>
      <c r="G29" t="s">
        <v>119</v>
      </c>
      <c r="H29" t="s">
        <v>120</v>
      </c>
      <c r="I29" t="str">
        <f>Resumo[[#This Row],[Turma:]] &amp; " | " &amp; Resumo[[#This Row],[TextoSemana]] &amp; " | " &amp; Resumo[[#This Row],[Disciplina:]]</f>
        <v>9º ano A | Semana 8 - 16/fev a 20/fev | Arte</v>
      </c>
      <c r="J29" t="s">
        <v>121</v>
      </c>
    </row>
    <row r="30" spans="1:10" x14ac:dyDescent="0.35">
      <c r="A30" t="s">
        <v>43</v>
      </c>
      <c r="B30">
        <v>8</v>
      </c>
      <c r="C30" s="3">
        <v>46069</v>
      </c>
      <c r="D30" s="3">
        <v>46073</v>
      </c>
      <c r="E30" t="s">
        <v>94</v>
      </c>
      <c r="F30" t="s">
        <v>8</v>
      </c>
      <c r="G30" t="s">
        <v>119</v>
      </c>
      <c r="H30" t="s">
        <v>120</v>
      </c>
      <c r="I30" t="str">
        <f>Resumo[[#This Row],[Turma:]] &amp; " | " &amp; Resumo[[#This Row],[TextoSemana]] &amp; " | " &amp; Resumo[[#This Row],[Disciplina:]]</f>
        <v>9º ano B | Semana 8 - 16/fev a 20/fev | Arte</v>
      </c>
      <c r="J30" t="s">
        <v>121</v>
      </c>
    </row>
    <row r="31" spans="1:10" x14ac:dyDescent="0.35">
      <c r="A31" t="s">
        <v>44</v>
      </c>
      <c r="B31">
        <v>8</v>
      </c>
      <c r="C31" s="3">
        <v>46069</v>
      </c>
      <c r="D31" s="3">
        <v>46073</v>
      </c>
      <c r="E31" t="s">
        <v>94</v>
      </c>
      <c r="F31" t="s">
        <v>8</v>
      </c>
      <c r="G31" t="s">
        <v>119</v>
      </c>
      <c r="H31" t="s">
        <v>120</v>
      </c>
      <c r="I31" t="str">
        <f>Resumo[[#This Row],[Turma:]] &amp; " | " &amp; Resumo[[#This Row],[TextoSemana]] &amp; " | " &amp; Resumo[[#This Row],[Disciplina:]]</f>
        <v>9º ano C | Semana 8 - 16/fev a 20/fev | Arte</v>
      </c>
      <c r="J31" t="s">
        <v>121</v>
      </c>
    </row>
    <row r="32" spans="1:10" x14ac:dyDescent="0.35">
      <c r="A32" t="s">
        <v>45</v>
      </c>
      <c r="B32">
        <v>8</v>
      </c>
      <c r="C32" s="3">
        <v>46069</v>
      </c>
      <c r="D32" s="3">
        <v>46073</v>
      </c>
      <c r="E32" t="s">
        <v>94</v>
      </c>
      <c r="F32" t="s">
        <v>8</v>
      </c>
      <c r="G32" t="s">
        <v>119</v>
      </c>
      <c r="H32" t="s">
        <v>120</v>
      </c>
      <c r="I32" t="str">
        <f>Resumo[[#This Row],[Turma:]] &amp; " | " &amp; Resumo[[#This Row],[TextoSemana]] &amp; " | " &amp; Resumo[[#This Row],[Disciplina:]]</f>
        <v>9º ano D | Semana 8 - 16/fev a 20/fev | Arte</v>
      </c>
      <c r="J32" t="s">
        <v>121</v>
      </c>
    </row>
    <row r="33" spans="1:10" x14ac:dyDescent="0.35">
      <c r="A33" t="s">
        <v>46</v>
      </c>
      <c r="B33">
        <v>8</v>
      </c>
      <c r="C33" s="3">
        <v>46069</v>
      </c>
      <c r="D33" s="3">
        <v>46073</v>
      </c>
      <c r="E33" t="s">
        <v>94</v>
      </c>
      <c r="F33" t="s">
        <v>8</v>
      </c>
      <c r="G33" t="s">
        <v>119</v>
      </c>
      <c r="H33" t="s">
        <v>120</v>
      </c>
      <c r="I33" t="str">
        <f>Resumo[[#This Row],[Turma:]] &amp; " | " &amp; Resumo[[#This Row],[TextoSemana]] &amp; " | " &amp; Resumo[[#This Row],[Disciplina:]]</f>
        <v>9º ano E | Semana 8 - 16/fev a 20/fev | Arte</v>
      </c>
      <c r="J33" t="s">
        <v>121</v>
      </c>
    </row>
    <row r="34" spans="1:10" x14ac:dyDescent="0.35">
      <c r="A34" t="s">
        <v>33</v>
      </c>
      <c r="B34">
        <v>8</v>
      </c>
      <c r="C34" s="3">
        <v>46069</v>
      </c>
      <c r="D34" s="3">
        <v>46073</v>
      </c>
      <c r="E34" t="s">
        <v>94</v>
      </c>
      <c r="F34" t="s">
        <v>8</v>
      </c>
      <c r="G34" t="s">
        <v>122</v>
      </c>
      <c r="H34" t="s">
        <v>123</v>
      </c>
      <c r="I34" t="str">
        <f>Resumo[[#This Row],[Turma:]] &amp; " | " &amp; Resumo[[#This Row],[TextoSemana]] &amp; " | " &amp; Resumo[[#This Row],[Disciplina:]]</f>
        <v>1º ano A - EM | Semana 8 - 16/fev a 20/fev | Arte</v>
      </c>
      <c r="J34" t="s">
        <v>124</v>
      </c>
    </row>
    <row r="35" spans="1:10" x14ac:dyDescent="0.35">
      <c r="A35" t="s">
        <v>34</v>
      </c>
      <c r="B35">
        <v>8</v>
      </c>
      <c r="C35" s="3">
        <v>46069</v>
      </c>
      <c r="D35" s="3">
        <v>46073</v>
      </c>
      <c r="E35" t="s">
        <v>94</v>
      </c>
      <c r="F35" t="s">
        <v>8</v>
      </c>
      <c r="G35" t="s">
        <v>122</v>
      </c>
      <c r="H35" t="s">
        <v>123</v>
      </c>
      <c r="I35" t="str">
        <f>Resumo[[#This Row],[Turma:]] &amp; " | " &amp; Resumo[[#This Row],[TextoSemana]] &amp; " | " &amp; Resumo[[#This Row],[Disciplina:]]</f>
        <v>1º ano B - EM | Semana 8 - 16/fev a 20/fev | Arte</v>
      </c>
      <c r="J35" t="s">
        <v>124</v>
      </c>
    </row>
    <row r="36" spans="1:10" x14ac:dyDescent="0.35">
      <c r="A36" t="s">
        <v>35</v>
      </c>
      <c r="B36">
        <v>8</v>
      </c>
      <c r="C36" s="3">
        <v>46069</v>
      </c>
      <c r="D36" s="3">
        <v>46073</v>
      </c>
      <c r="E36" t="s">
        <v>94</v>
      </c>
      <c r="F36" t="s">
        <v>8</v>
      </c>
      <c r="G36" t="s">
        <v>122</v>
      </c>
      <c r="H36" t="s">
        <v>123</v>
      </c>
      <c r="I36" t="str">
        <f>Resumo[[#This Row],[Turma:]] &amp; " | " &amp; Resumo[[#This Row],[TextoSemana]] &amp; " | " &amp; Resumo[[#This Row],[Disciplina:]]</f>
        <v>1º ano C - EM | Semana 8 - 16/fev a 20/fev | Arte</v>
      </c>
      <c r="J36" t="s">
        <v>124</v>
      </c>
    </row>
    <row r="37" spans="1:10" x14ac:dyDescent="0.35">
      <c r="A37" t="s">
        <v>36</v>
      </c>
      <c r="B37">
        <v>8</v>
      </c>
      <c r="C37" s="3">
        <v>46069</v>
      </c>
      <c r="D37" s="3">
        <v>46073</v>
      </c>
      <c r="E37" t="s">
        <v>94</v>
      </c>
      <c r="F37" t="s">
        <v>8</v>
      </c>
      <c r="G37" t="s">
        <v>122</v>
      </c>
      <c r="H37" t="s">
        <v>123</v>
      </c>
      <c r="I37" t="str">
        <f>Resumo[[#This Row],[Turma:]] &amp; " | " &amp; Resumo[[#This Row],[TextoSemana]] &amp; " | " &amp; Resumo[[#This Row],[Disciplina:]]</f>
        <v>1º ano D - EM | Semana 8 - 16/fev a 20/fev | Arte</v>
      </c>
      <c r="J37" t="s">
        <v>124</v>
      </c>
    </row>
    <row r="38" spans="1:10" x14ac:dyDescent="0.35">
      <c r="A38" t="s">
        <v>37</v>
      </c>
      <c r="B38">
        <v>8</v>
      </c>
      <c r="C38" s="3">
        <v>46069</v>
      </c>
      <c r="D38" s="3">
        <v>46073</v>
      </c>
      <c r="E38" t="s">
        <v>94</v>
      </c>
      <c r="F38" t="s">
        <v>8</v>
      </c>
      <c r="G38" t="s">
        <v>122</v>
      </c>
      <c r="H38" t="s">
        <v>123</v>
      </c>
      <c r="I38" t="str">
        <f>Resumo[[#This Row],[Turma:]] &amp; " | " &amp; Resumo[[#This Row],[TextoSemana]] &amp; " | " &amp; Resumo[[#This Row],[Disciplina:]]</f>
        <v>1º ano E - EM | Semana 8 - 16/fev a 20/fev | Arte</v>
      </c>
      <c r="J38" t="s">
        <v>124</v>
      </c>
    </row>
    <row r="39" spans="1:10" x14ac:dyDescent="0.35">
      <c r="A39" t="s">
        <v>47</v>
      </c>
      <c r="B39">
        <v>8</v>
      </c>
      <c r="C39" s="3">
        <v>46069</v>
      </c>
      <c r="D39" s="3">
        <v>46073</v>
      </c>
      <c r="E39" t="s">
        <v>94</v>
      </c>
      <c r="F39" t="s">
        <v>8</v>
      </c>
      <c r="G39" t="s">
        <v>125</v>
      </c>
      <c r="H39" t="s">
        <v>126</v>
      </c>
      <c r="I39" t="str">
        <f>Resumo[[#This Row],[Turma:]] &amp; " | " &amp; Resumo[[#This Row],[TextoSemana]] &amp; " | " &amp; Resumo[[#This Row],[Disciplina:]]</f>
        <v>2º ano A - EM | Semana 8 - 16/fev a 20/fev | Arte</v>
      </c>
      <c r="J39" t="s">
        <v>127</v>
      </c>
    </row>
    <row r="40" spans="1:10" x14ac:dyDescent="0.35">
      <c r="A40" t="s">
        <v>48</v>
      </c>
      <c r="B40">
        <v>8</v>
      </c>
      <c r="C40" s="3">
        <v>46069</v>
      </c>
      <c r="D40" s="3">
        <v>46073</v>
      </c>
      <c r="E40" t="s">
        <v>94</v>
      </c>
      <c r="F40" t="s">
        <v>8</v>
      </c>
      <c r="G40" t="s">
        <v>125</v>
      </c>
      <c r="H40" t="s">
        <v>126</v>
      </c>
      <c r="I40" t="str">
        <f>Resumo[[#This Row],[Turma:]] &amp; " | " &amp; Resumo[[#This Row],[TextoSemana]] &amp; " | " &amp; Resumo[[#This Row],[Disciplina:]]</f>
        <v>2º ano B - EM | Semana 8 - 16/fev a 20/fev | Arte</v>
      </c>
      <c r="J40" t="s">
        <v>127</v>
      </c>
    </row>
    <row r="41" spans="1:10" x14ac:dyDescent="0.35">
      <c r="A41" t="s">
        <v>49</v>
      </c>
      <c r="B41">
        <v>8</v>
      </c>
      <c r="C41" s="3">
        <v>46069</v>
      </c>
      <c r="D41" s="3">
        <v>46073</v>
      </c>
      <c r="E41" t="s">
        <v>94</v>
      </c>
      <c r="F41" t="s">
        <v>8</v>
      </c>
      <c r="G41" t="s">
        <v>125</v>
      </c>
      <c r="H41" t="s">
        <v>126</v>
      </c>
      <c r="I41" t="str">
        <f>Resumo[[#This Row],[Turma:]] &amp; " | " &amp; Resumo[[#This Row],[TextoSemana]] &amp; " | " &amp; Resumo[[#This Row],[Disciplina:]]</f>
        <v>2º ano C - EM | Semana 8 - 16/fev a 20/fev | Arte</v>
      </c>
      <c r="J41" t="s">
        <v>127</v>
      </c>
    </row>
    <row r="42" spans="1:10" x14ac:dyDescent="0.35">
      <c r="A42" t="s">
        <v>50</v>
      </c>
      <c r="B42">
        <v>8</v>
      </c>
      <c r="C42" s="3">
        <v>46069</v>
      </c>
      <c r="D42" s="3">
        <v>46073</v>
      </c>
      <c r="E42" t="s">
        <v>94</v>
      </c>
      <c r="F42" t="s">
        <v>8</v>
      </c>
      <c r="G42" t="s">
        <v>125</v>
      </c>
      <c r="H42" t="s">
        <v>126</v>
      </c>
      <c r="I42" t="str">
        <f>Resumo[[#This Row],[Turma:]] &amp; " | " &amp; Resumo[[#This Row],[TextoSemana]] &amp; " | " &amp; Resumo[[#This Row],[Disciplina:]]</f>
        <v>2º ano D - EM | Semana 8 - 16/fev a 20/fev | Arte</v>
      </c>
      <c r="J42" t="s">
        <v>127</v>
      </c>
    </row>
    <row r="43" spans="1:10" x14ac:dyDescent="0.35">
      <c r="A43" t="s">
        <v>51</v>
      </c>
      <c r="B43">
        <v>8</v>
      </c>
      <c r="C43" s="3">
        <v>46069</v>
      </c>
      <c r="D43" s="3">
        <v>46073</v>
      </c>
      <c r="E43" t="s">
        <v>94</v>
      </c>
      <c r="F43" t="s">
        <v>8</v>
      </c>
      <c r="G43" t="s">
        <v>125</v>
      </c>
      <c r="H43" t="s">
        <v>126</v>
      </c>
      <c r="I43" t="str">
        <f>Resumo[[#This Row],[Turma:]] &amp; " | " &amp; Resumo[[#This Row],[TextoSemana]] &amp; " | " &amp; Resumo[[#This Row],[Disciplina:]]</f>
        <v>2º ano E - EM | Semana 8 - 16/fev a 20/fev | Arte</v>
      </c>
      <c r="J43" t="s">
        <v>127</v>
      </c>
    </row>
    <row r="44" spans="1:10" x14ac:dyDescent="0.35">
      <c r="A44" t="s">
        <v>24</v>
      </c>
      <c r="B44">
        <v>1</v>
      </c>
      <c r="C44" s="3">
        <v>46020</v>
      </c>
      <c r="D44" s="3">
        <v>46024</v>
      </c>
      <c r="E44" t="s">
        <v>112</v>
      </c>
      <c r="F44" t="s">
        <v>7</v>
      </c>
      <c r="G44" t="s">
        <v>128</v>
      </c>
      <c r="H44" t="s">
        <v>129</v>
      </c>
      <c r="I44" t="str">
        <f>Resumo[[#This Row],[Turma:]] &amp; " | " &amp; Resumo[[#This Row],[TextoSemana]] &amp; " | " &amp; Resumo[[#This Row],[Disciplina:]]</f>
        <v>6º ano A | Semana 1 - 29/dez a 02/jan | Língua Inglesa</v>
      </c>
      <c r="J44" t="s">
        <v>130</v>
      </c>
    </row>
    <row r="45" spans="1:10" x14ac:dyDescent="0.35">
      <c r="A45" t="s">
        <v>25</v>
      </c>
      <c r="B45">
        <v>1</v>
      </c>
      <c r="C45" s="3">
        <v>46020</v>
      </c>
      <c r="D45" s="3">
        <v>46024</v>
      </c>
      <c r="E45" t="s">
        <v>112</v>
      </c>
      <c r="F45" t="s">
        <v>7</v>
      </c>
      <c r="G45" t="s">
        <v>128</v>
      </c>
      <c r="H45" t="s">
        <v>129</v>
      </c>
      <c r="I45" t="str">
        <f>Resumo[[#This Row],[Turma:]] &amp; " | " &amp; Resumo[[#This Row],[TextoSemana]] &amp; " | " &amp; Resumo[[#This Row],[Disciplina:]]</f>
        <v>6º ano B | Semana 1 - 29/dez a 02/jan | Língua Inglesa</v>
      </c>
      <c r="J45" t="s">
        <v>130</v>
      </c>
    </row>
    <row r="46" spans="1:10" x14ac:dyDescent="0.35">
      <c r="A46" t="s">
        <v>26</v>
      </c>
      <c r="B46">
        <v>1</v>
      </c>
      <c r="C46" s="3">
        <v>46020</v>
      </c>
      <c r="D46" s="3">
        <v>46024</v>
      </c>
      <c r="E46" t="s">
        <v>112</v>
      </c>
      <c r="F46" t="s">
        <v>7</v>
      </c>
      <c r="G46" t="s">
        <v>128</v>
      </c>
      <c r="H46" t="s">
        <v>129</v>
      </c>
      <c r="I46" t="str">
        <f>Resumo[[#This Row],[Turma:]] &amp; " | " &amp; Resumo[[#This Row],[TextoSemana]] &amp; " | " &amp; Resumo[[#This Row],[Disciplina:]]</f>
        <v>6º ano C | Semana 1 - 29/dez a 02/jan | Língua Inglesa</v>
      </c>
      <c r="J46" t="s">
        <v>130</v>
      </c>
    </row>
    <row r="47" spans="1:10" x14ac:dyDescent="0.35">
      <c r="A47" t="s">
        <v>27</v>
      </c>
      <c r="B47">
        <v>1</v>
      </c>
      <c r="C47" s="3">
        <v>46020</v>
      </c>
      <c r="D47" s="3">
        <v>46024</v>
      </c>
      <c r="E47" t="s">
        <v>112</v>
      </c>
      <c r="F47" t="s">
        <v>7</v>
      </c>
      <c r="G47" t="s">
        <v>128</v>
      </c>
      <c r="H47" t="s">
        <v>129</v>
      </c>
      <c r="I47" t="str">
        <f>Resumo[[#This Row],[Turma:]] &amp; " | " &amp; Resumo[[#This Row],[TextoSemana]] &amp; " | " &amp; Resumo[[#This Row],[Disciplina:]]</f>
        <v>6º ano D | Semana 1 - 29/dez a 02/jan | Língua Inglesa</v>
      </c>
      <c r="J47" t="s">
        <v>130</v>
      </c>
    </row>
    <row r="48" spans="1:10" x14ac:dyDescent="0.35">
      <c r="A48" t="s">
        <v>42</v>
      </c>
      <c r="B48">
        <v>12</v>
      </c>
      <c r="C48" s="3">
        <v>46097</v>
      </c>
      <c r="D48" s="3">
        <v>46101</v>
      </c>
      <c r="E48" t="s">
        <v>131</v>
      </c>
      <c r="F48" t="s">
        <v>12</v>
      </c>
      <c r="G48" t="s">
        <v>132</v>
      </c>
      <c r="H48" t="s">
        <v>133</v>
      </c>
      <c r="I48" t="str">
        <f>Resumo[[#This Row],[Turma:]] &amp; " | " &amp; Resumo[[#This Row],[TextoSemana]] &amp; " | " &amp; Resumo[[#This Row],[Disciplina:]]</f>
        <v>9º ano A | Semana 12 - 16/mar a 20/mar | Matemática</v>
      </c>
      <c r="J48" t="s">
        <v>134</v>
      </c>
    </row>
    <row r="49" spans="1:10" x14ac:dyDescent="0.35">
      <c r="A49" t="s">
        <v>43</v>
      </c>
      <c r="B49">
        <v>12</v>
      </c>
      <c r="C49" s="3">
        <v>46097</v>
      </c>
      <c r="D49" s="3">
        <v>46101</v>
      </c>
      <c r="E49" t="s">
        <v>131</v>
      </c>
      <c r="F49" t="s">
        <v>12</v>
      </c>
      <c r="G49" t="s">
        <v>132</v>
      </c>
      <c r="H49" t="s">
        <v>133</v>
      </c>
      <c r="I49" t="str">
        <f>Resumo[[#This Row],[Turma:]] &amp; " | " &amp; Resumo[[#This Row],[TextoSemana]] &amp; " | " &amp; Resumo[[#This Row],[Disciplina:]]</f>
        <v>9º ano B | Semana 12 - 16/mar a 20/mar | Matemática</v>
      </c>
      <c r="J49" t="s">
        <v>134</v>
      </c>
    </row>
    <row r="50" spans="1:10" x14ac:dyDescent="0.35">
      <c r="A50" t="s">
        <v>45</v>
      </c>
      <c r="B50">
        <v>12</v>
      </c>
      <c r="C50" s="3">
        <v>46097</v>
      </c>
      <c r="D50" s="3">
        <v>46101</v>
      </c>
      <c r="E50" t="s">
        <v>131</v>
      </c>
      <c r="F50" t="s">
        <v>12</v>
      </c>
      <c r="G50" t="s">
        <v>132</v>
      </c>
      <c r="H50" t="s">
        <v>133</v>
      </c>
      <c r="I50" t="str">
        <f>Resumo[[#This Row],[Turma:]] &amp; " | " &amp; Resumo[[#This Row],[TextoSemana]] &amp; " | " &amp; Resumo[[#This Row],[Disciplina:]]</f>
        <v>9º ano D | Semana 12 - 16/mar a 20/mar | Matemática</v>
      </c>
      <c r="J50" t="s">
        <v>134</v>
      </c>
    </row>
    <row r="51" spans="1:10" x14ac:dyDescent="0.35">
      <c r="A51" t="s">
        <v>44</v>
      </c>
      <c r="B51">
        <v>12</v>
      </c>
      <c r="C51" s="3">
        <v>46097</v>
      </c>
      <c r="D51" s="3">
        <v>46101</v>
      </c>
      <c r="E51" t="s">
        <v>131</v>
      </c>
      <c r="F51" t="s">
        <v>12</v>
      </c>
      <c r="G51" t="s">
        <v>132</v>
      </c>
      <c r="H51" t="s">
        <v>133</v>
      </c>
      <c r="I51" t="str">
        <f>Resumo[[#This Row],[Turma:]] &amp; " | " &amp; Resumo[[#This Row],[TextoSemana]] &amp; " | " &amp; Resumo[[#This Row],[Disciplina:]]</f>
        <v>9º ano C | Semana 12 - 16/mar a 20/mar | Matemática</v>
      </c>
      <c r="J51" t="s">
        <v>134</v>
      </c>
    </row>
    <row r="52" spans="1:10" x14ac:dyDescent="0.35">
      <c r="A52" t="s">
        <v>46</v>
      </c>
      <c r="B52">
        <v>12</v>
      </c>
      <c r="C52" s="3">
        <v>46097</v>
      </c>
      <c r="D52" s="3">
        <v>46101</v>
      </c>
      <c r="E52" t="s">
        <v>131</v>
      </c>
      <c r="F52" t="s">
        <v>12</v>
      </c>
      <c r="G52" t="s">
        <v>132</v>
      </c>
      <c r="H52" t="s">
        <v>133</v>
      </c>
      <c r="I52" t="str">
        <f>Resumo[[#This Row],[Turma:]] &amp; " | " &amp; Resumo[[#This Row],[TextoSemana]] &amp; " | " &amp; Resumo[[#This Row],[Disciplina:]]</f>
        <v>9º ano E | Semana 12 - 16/mar a 20/mar | Matemática</v>
      </c>
      <c r="J52" t="s">
        <v>134</v>
      </c>
    </row>
    <row r="53" spans="1:10" x14ac:dyDescent="0.35">
      <c r="A53" t="s">
        <v>24</v>
      </c>
      <c r="B53">
        <v>3</v>
      </c>
      <c r="C53" s="3">
        <v>46034</v>
      </c>
      <c r="D53" s="3">
        <v>46038</v>
      </c>
      <c r="E53" t="s">
        <v>103</v>
      </c>
      <c r="F53" t="s">
        <v>13</v>
      </c>
      <c r="G53" t="s">
        <v>135</v>
      </c>
      <c r="H53" t="s">
        <v>136</v>
      </c>
      <c r="I53" t="str">
        <f>Resumo[[#This Row],[Turma:]] &amp; " | " &amp; Resumo[[#This Row],[TextoSemana]] &amp; " | " &amp; Resumo[[#This Row],[Disciplina:]]</f>
        <v>6º ano A | Semana 3 - 12/jan a 16/jan | Ciências da Natureza</v>
      </c>
      <c r="J53" t="s">
        <v>137</v>
      </c>
    </row>
    <row r="54" spans="1:10" x14ac:dyDescent="0.35">
      <c r="A54" t="s">
        <v>25</v>
      </c>
      <c r="B54">
        <v>3</v>
      </c>
      <c r="C54" s="3">
        <v>46034</v>
      </c>
      <c r="D54" s="3">
        <v>46038</v>
      </c>
      <c r="E54" t="s">
        <v>103</v>
      </c>
      <c r="F54" t="s">
        <v>13</v>
      </c>
      <c r="G54" t="s">
        <v>135</v>
      </c>
      <c r="H54" t="s">
        <v>136</v>
      </c>
      <c r="I54" t="str">
        <f>Resumo[[#This Row],[Turma:]] &amp; " | " &amp; Resumo[[#This Row],[TextoSemana]] &amp; " | " &amp; Resumo[[#This Row],[Disciplina:]]</f>
        <v>6º ano B | Semana 3 - 12/jan a 16/jan | Ciências da Natureza</v>
      </c>
      <c r="J54" t="s">
        <v>137</v>
      </c>
    </row>
    <row r="55" spans="1:10" x14ac:dyDescent="0.35">
      <c r="A55" t="s">
        <v>26</v>
      </c>
      <c r="B55">
        <v>3</v>
      </c>
      <c r="C55" s="3">
        <v>46034</v>
      </c>
      <c r="D55" s="3">
        <v>46038</v>
      </c>
      <c r="E55" t="s">
        <v>103</v>
      </c>
      <c r="F55" t="s">
        <v>13</v>
      </c>
      <c r="G55" t="s">
        <v>135</v>
      </c>
      <c r="H55" t="s">
        <v>136</v>
      </c>
      <c r="I55" t="str">
        <f>Resumo[[#This Row],[Turma:]] &amp; " | " &amp; Resumo[[#This Row],[TextoSemana]] &amp; " | " &amp; Resumo[[#This Row],[Disciplina:]]</f>
        <v>6º ano C | Semana 3 - 12/jan a 16/jan | Ciências da Natureza</v>
      </c>
      <c r="J55" t="s">
        <v>137</v>
      </c>
    </row>
    <row r="56" spans="1:10" x14ac:dyDescent="0.35">
      <c r="A56" t="s">
        <v>27</v>
      </c>
      <c r="B56">
        <v>3</v>
      </c>
      <c r="C56" s="3">
        <v>46034</v>
      </c>
      <c r="D56" s="3">
        <v>46038</v>
      </c>
      <c r="E56" t="s">
        <v>103</v>
      </c>
      <c r="F56" t="s">
        <v>13</v>
      </c>
      <c r="G56" t="s">
        <v>135</v>
      </c>
      <c r="H56" t="s">
        <v>136</v>
      </c>
      <c r="I56" t="str">
        <f>Resumo[[#This Row],[Turma:]] &amp; " | " &amp; Resumo[[#This Row],[TextoSemana]] &amp; " | " &amp; Resumo[[#This Row],[Disciplina:]]</f>
        <v>6º ano D | Semana 3 - 12/jan a 16/jan | Ciências da Natureza</v>
      </c>
      <c r="J56" t="s">
        <v>137</v>
      </c>
    </row>
    <row r="57" spans="1:10" x14ac:dyDescent="0.35">
      <c r="A57" t="s">
        <v>38</v>
      </c>
      <c r="B57">
        <v>3</v>
      </c>
      <c r="C57" s="3">
        <v>46034</v>
      </c>
      <c r="D57" s="3">
        <v>46038</v>
      </c>
      <c r="E57" t="s">
        <v>103</v>
      </c>
      <c r="F57" t="s">
        <v>13</v>
      </c>
      <c r="G57" t="s">
        <v>138</v>
      </c>
      <c r="H57" t="s">
        <v>139</v>
      </c>
      <c r="I57" t="str">
        <f>Resumo[[#This Row],[Turma:]] &amp; " | " &amp; Resumo[[#This Row],[TextoSemana]] &amp; " | " &amp; Resumo[[#This Row],[Disciplina:]]</f>
        <v>8º ano A | Semana 3 - 12/jan a 16/jan | Ciências da Natureza</v>
      </c>
      <c r="J57" t="s">
        <v>130</v>
      </c>
    </row>
    <row r="58" spans="1:10" x14ac:dyDescent="0.35">
      <c r="A58" t="s">
        <v>39</v>
      </c>
      <c r="B58">
        <v>3</v>
      </c>
      <c r="C58" s="3">
        <v>46034</v>
      </c>
      <c r="D58" s="3">
        <v>46038</v>
      </c>
      <c r="E58" t="s">
        <v>103</v>
      </c>
      <c r="F58" t="s">
        <v>13</v>
      </c>
      <c r="G58" t="s">
        <v>138</v>
      </c>
      <c r="H58" t="s">
        <v>139</v>
      </c>
      <c r="I58" t="str">
        <f>Resumo[[#This Row],[Turma:]] &amp; " | " &amp; Resumo[[#This Row],[TextoSemana]] &amp; " | " &amp; Resumo[[#This Row],[Disciplina:]]</f>
        <v>8º ano B | Semana 3 - 12/jan a 16/jan | Ciências da Natureza</v>
      </c>
      <c r="J58" t="s">
        <v>130</v>
      </c>
    </row>
    <row r="59" spans="1:10" x14ac:dyDescent="0.35">
      <c r="A59" t="s">
        <v>40</v>
      </c>
      <c r="B59">
        <v>3</v>
      </c>
      <c r="C59" s="3">
        <v>46034</v>
      </c>
      <c r="D59" s="3">
        <v>46038</v>
      </c>
      <c r="E59" t="s">
        <v>103</v>
      </c>
      <c r="F59" t="s">
        <v>13</v>
      </c>
      <c r="G59" t="s">
        <v>138</v>
      </c>
      <c r="H59" t="s">
        <v>139</v>
      </c>
      <c r="I59" t="str">
        <f>Resumo[[#This Row],[Turma:]] &amp; " | " &amp; Resumo[[#This Row],[TextoSemana]] &amp; " | " &amp; Resumo[[#This Row],[Disciplina:]]</f>
        <v>8º ano C | Semana 3 - 12/jan a 16/jan | Ciências da Natureza</v>
      </c>
      <c r="J59" t="s">
        <v>130</v>
      </c>
    </row>
    <row r="60" spans="1:10" x14ac:dyDescent="0.35">
      <c r="A60" t="s">
        <v>41</v>
      </c>
      <c r="B60">
        <v>3</v>
      </c>
      <c r="C60" s="3">
        <v>46034</v>
      </c>
      <c r="D60" s="3">
        <v>46038</v>
      </c>
      <c r="E60" t="s">
        <v>103</v>
      </c>
      <c r="F60" t="s">
        <v>13</v>
      </c>
      <c r="G60" t="s">
        <v>138</v>
      </c>
      <c r="H60" t="s">
        <v>139</v>
      </c>
      <c r="I60" t="str">
        <f>Resumo[[#This Row],[Turma:]] &amp; " | " &amp; Resumo[[#This Row],[TextoSemana]] &amp; " | " &amp; Resumo[[#This Row],[Disciplina:]]</f>
        <v>8º ano D | Semana 3 - 12/jan a 16/jan | Ciências da Natureza</v>
      </c>
      <c r="J60" t="s">
        <v>130</v>
      </c>
    </row>
    <row r="61" spans="1:10" x14ac:dyDescent="0.35">
      <c r="A61" t="s">
        <v>38</v>
      </c>
      <c r="B61">
        <v>3</v>
      </c>
      <c r="C61" s="3">
        <v>46034</v>
      </c>
      <c r="D61" s="3">
        <v>46038</v>
      </c>
      <c r="E61" t="s">
        <v>103</v>
      </c>
      <c r="F61" t="s">
        <v>14</v>
      </c>
      <c r="G61" t="s">
        <v>140</v>
      </c>
      <c r="H61" t="s">
        <v>130</v>
      </c>
      <c r="I61" t="str">
        <f>Resumo[[#This Row],[Turma:]] &amp; " | " &amp; Resumo[[#This Row],[TextoSemana]] &amp; " | " &amp; Resumo[[#This Row],[Disciplina:]]</f>
        <v>8º ano A | Semana 3 - 12/jan a 16/jan | STEAM</v>
      </c>
      <c r="J61" t="s">
        <v>141</v>
      </c>
    </row>
    <row r="62" spans="1:10" x14ac:dyDescent="0.35">
      <c r="A62" t="s">
        <v>40</v>
      </c>
      <c r="B62">
        <v>3</v>
      </c>
      <c r="C62" s="3">
        <v>46034</v>
      </c>
      <c r="D62" s="3">
        <v>46038</v>
      </c>
      <c r="E62" t="s">
        <v>103</v>
      </c>
      <c r="F62" t="s">
        <v>14</v>
      </c>
      <c r="G62" t="s">
        <v>140</v>
      </c>
      <c r="H62" t="s">
        <v>130</v>
      </c>
      <c r="I62" t="str">
        <f>Resumo[[#This Row],[Turma:]] &amp; " | " &amp; Resumo[[#This Row],[TextoSemana]] &amp; " | " &amp; Resumo[[#This Row],[Disciplina:]]</f>
        <v>8º ano C | Semana 3 - 12/jan a 16/jan | STEAM</v>
      </c>
      <c r="J62" t="s">
        <v>141</v>
      </c>
    </row>
    <row r="63" spans="1:10" x14ac:dyDescent="0.35">
      <c r="A63" t="s">
        <v>39</v>
      </c>
      <c r="B63">
        <v>3</v>
      </c>
      <c r="C63" s="3">
        <v>46034</v>
      </c>
      <c r="D63" s="3">
        <v>46038</v>
      </c>
      <c r="E63" t="s">
        <v>103</v>
      </c>
      <c r="F63" t="s">
        <v>14</v>
      </c>
      <c r="G63" t="s">
        <v>140</v>
      </c>
      <c r="H63" t="s">
        <v>130</v>
      </c>
      <c r="I63" t="str">
        <f>Resumo[[#This Row],[Turma:]] &amp; " | " &amp; Resumo[[#This Row],[TextoSemana]] &amp; " | " &amp; Resumo[[#This Row],[Disciplina:]]</f>
        <v>8º ano B | Semana 3 - 12/jan a 16/jan | STEAM</v>
      </c>
      <c r="J63" t="s">
        <v>141</v>
      </c>
    </row>
    <row r="64" spans="1:10" x14ac:dyDescent="0.35">
      <c r="A64" t="s">
        <v>42</v>
      </c>
      <c r="B64">
        <v>3</v>
      </c>
      <c r="C64" s="3">
        <v>46034</v>
      </c>
      <c r="D64" s="3">
        <v>46038</v>
      </c>
      <c r="E64" t="s">
        <v>103</v>
      </c>
      <c r="F64" t="s">
        <v>14</v>
      </c>
      <c r="G64" t="s">
        <v>142</v>
      </c>
      <c r="H64" t="s">
        <v>130</v>
      </c>
      <c r="I64" t="str">
        <f>Resumo[[#This Row],[Turma:]] &amp; " | " &amp; Resumo[[#This Row],[TextoSemana]] &amp; " | " &amp; Resumo[[#This Row],[Disciplina:]]</f>
        <v>9º ano A | Semana 3 - 12/jan a 16/jan | STEAM</v>
      </c>
      <c r="J64" t="s">
        <v>130</v>
      </c>
    </row>
    <row r="65" spans="1:10" x14ac:dyDescent="0.35">
      <c r="A65" t="s">
        <v>43</v>
      </c>
      <c r="B65">
        <v>3</v>
      </c>
      <c r="C65" s="3">
        <v>46034</v>
      </c>
      <c r="D65" s="3">
        <v>46038</v>
      </c>
      <c r="E65" t="s">
        <v>103</v>
      </c>
      <c r="F65" t="s">
        <v>14</v>
      </c>
      <c r="G65" t="s">
        <v>142</v>
      </c>
      <c r="H65" t="s">
        <v>130</v>
      </c>
      <c r="I65" t="str">
        <f>Resumo[[#This Row],[Turma:]] &amp; " | " &amp; Resumo[[#This Row],[TextoSemana]] &amp; " | " &amp; Resumo[[#This Row],[Disciplina:]]</f>
        <v>9º ano B | Semana 3 - 12/jan a 16/jan | STEAM</v>
      </c>
      <c r="J65" t="s">
        <v>130</v>
      </c>
    </row>
    <row r="66" spans="1:10" x14ac:dyDescent="0.35">
      <c r="A66" t="s">
        <v>35</v>
      </c>
      <c r="B66">
        <v>2</v>
      </c>
      <c r="C66" s="3">
        <v>46027</v>
      </c>
      <c r="D66" s="3">
        <v>46031</v>
      </c>
      <c r="E66" t="s">
        <v>82</v>
      </c>
      <c r="F66" t="s">
        <v>12</v>
      </c>
      <c r="G66" t="s">
        <v>165</v>
      </c>
      <c r="H66" t="s">
        <v>166</v>
      </c>
      <c r="I66" t="str">
        <f>Resumo[[#This Row],[Turma:]] &amp; " | " &amp; Resumo[[#This Row],[TextoSemana]] &amp; " | " &amp; Resumo[[#This Row],[Disciplina:]]</f>
        <v>1º ano C - EM | Semana 2 - 05/jan a 09/jan | Matemática</v>
      </c>
      <c r="J66" t="s">
        <v>167</v>
      </c>
    </row>
    <row r="67" spans="1:10" x14ac:dyDescent="0.35">
      <c r="A67" t="s">
        <v>36</v>
      </c>
      <c r="B67">
        <v>2</v>
      </c>
      <c r="C67" s="3">
        <v>46027</v>
      </c>
      <c r="D67" s="3">
        <v>46031</v>
      </c>
      <c r="E67" t="s">
        <v>82</v>
      </c>
      <c r="F67" t="s">
        <v>12</v>
      </c>
      <c r="G67" t="s">
        <v>165</v>
      </c>
      <c r="H67" t="s">
        <v>166</v>
      </c>
      <c r="I67" t="str">
        <f>Resumo[[#This Row],[Turma:]] &amp; " | " &amp; Resumo[[#This Row],[TextoSemana]] &amp; " | " &amp; Resumo[[#This Row],[Disciplina:]]</f>
        <v>1º ano D - EM | Semana 2 - 05/jan a 09/jan | Matemática</v>
      </c>
      <c r="J67" t="s">
        <v>167</v>
      </c>
    </row>
    <row r="68" spans="1:10" x14ac:dyDescent="0.35">
      <c r="A68" t="s">
        <v>47</v>
      </c>
      <c r="B68">
        <v>2</v>
      </c>
      <c r="C68" s="3">
        <v>46027</v>
      </c>
      <c r="D68" s="3">
        <v>46031</v>
      </c>
      <c r="E68" t="s">
        <v>82</v>
      </c>
      <c r="F68" t="s">
        <v>12</v>
      </c>
      <c r="G68" t="s">
        <v>165</v>
      </c>
      <c r="H68" t="s">
        <v>166</v>
      </c>
      <c r="I68" t="str">
        <f>Resumo[[#This Row],[Turma:]] &amp; " | " &amp; Resumo[[#This Row],[TextoSemana]] &amp; " | " &amp; Resumo[[#This Row],[Disciplina:]]</f>
        <v>2º ano A - EM | Semana 2 - 05/jan a 09/jan | Matemática</v>
      </c>
      <c r="J68" t="s">
        <v>167</v>
      </c>
    </row>
    <row r="69" spans="1:10" x14ac:dyDescent="0.35">
      <c r="A69" t="s">
        <v>50</v>
      </c>
      <c r="B69">
        <v>2</v>
      </c>
      <c r="C69" s="3">
        <v>46027</v>
      </c>
      <c r="D69" s="3">
        <v>46031</v>
      </c>
      <c r="E69" t="s">
        <v>82</v>
      </c>
      <c r="F69" t="s">
        <v>12</v>
      </c>
      <c r="G69" t="s">
        <v>168</v>
      </c>
      <c r="H69" t="s">
        <v>169</v>
      </c>
      <c r="I69" t="str">
        <f>Resumo[[#This Row],[Turma:]] &amp; " | " &amp; Resumo[[#This Row],[TextoSemana]] &amp; " | " &amp; Resumo[[#This Row],[Disciplina:]]</f>
        <v>2º ano D - EM | Semana 2 - 05/jan a 09/jan | Matemática</v>
      </c>
      <c r="J69" t="s">
        <v>170</v>
      </c>
    </row>
    <row r="70" spans="1:10" x14ac:dyDescent="0.35">
      <c r="A70" t="s">
        <v>51</v>
      </c>
      <c r="B70">
        <v>2</v>
      </c>
      <c r="C70" s="3">
        <v>46027</v>
      </c>
      <c r="D70" s="3">
        <v>46031</v>
      </c>
      <c r="E70" t="s">
        <v>82</v>
      </c>
      <c r="F70" t="s">
        <v>12</v>
      </c>
      <c r="G70" t="s">
        <v>168</v>
      </c>
      <c r="H70" t="s">
        <v>169</v>
      </c>
      <c r="I70" t="str">
        <f>Resumo[[#This Row],[Turma:]] &amp; " | " &amp; Resumo[[#This Row],[TextoSemana]] &amp; " | " &amp; Resumo[[#This Row],[Disciplina:]]</f>
        <v>2º ano E - EM | Semana 2 - 05/jan a 09/jan | Matemática</v>
      </c>
      <c r="J70" t="s">
        <v>170</v>
      </c>
    </row>
    <row r="71" spans="1:10" x14ac:dyDescent="0.35">
      <c r="A71" t="s">
        <v>44</v>
      </c>
      <c r="B71">
        <v>2</v>
      </c>
      <c r="C71" s="3">
        <v>46027</v>
      </c>
      <c r="D71" s="3">
        <v>46031</v>
      </c>
      <c r="E71" t="s">
        <v>82</v>
      </c>
      <c r="F71" t="s">
        <v>14</v>
      </c>
      <c r="G71" t="s">
        <v>171</v>
      </c>
      <c r="H71" t="s">
        <v>172</v>
      </c>
      <c r="I71" t="str">
        <f>Resumo[[#This Row],[Turma:]] &amp; " | " &amp; Resumo[[#This Row],[TextoSemana]] &amp; " | " &amp; Resumo[[#This Row],[Disciplina:]]</f>
        <v>9º ano C | Semana 2 - 05/jan a 09/jan | STEAM</v>
      </c>
      <c r="J71" t="s">
        <v>173</v>
      </c>
    </row>
    <row r="72" spans="1:10" x14ac:dyDescent="0.35">
      <c r="A72" t="s">
        <v>45</v>
      </c>
      <c r="B72">
        <v>2</v>
      </c>
      <c r="C72" s="3">
        <v>46027</v>
      </c>
      <c r="D72" s="3">
        <v>46031</v>
      </c>
      <c r="E72" t="s">
        <v>82</v>
      </c>
      <c r="F72" t="s">
        <v>14</v>
      </c>
      <c r="G72" t="s">
        <v>171</v>
      </c>
      <c r="H72" t="s">
        <v>172</v>
      </c>
      <c r="I72" t="str">
        <f>Resumo[[#This Row],[Turma:]] &amp; " | " &amp; Resumo[[#This Row],[TextoSemana]] &amp; " | " &amp; Resumo[[#This Row],[Disciplina:]]</f>
        <v>9º ano D | Semana 2 - 05/jan a 09/jan | STEAM</v>
      </c>
      <c r="J72" t="s">
        <v>173</v>
      </c>
    </row>
    <row r="73" spans="1:10" x14ac:dyDescent="0.35">
      <c r="A73" t="s">
        <v>46</v>
      </c>
      <c r="B73">
        <v>2</v>
      </c>
      <c r="C73" s="3">
        <v>46027</v>
      </c>
      <c r="D73" s="3">
        <v>46031</v>
      </c>
      <c r="E73" t="s">
        <v>82</v>
      </c>
      <c r="F73" t="s">
        <v>14</v>
      </c>
      <c r="G73" t="s">
        <v>171</v>
      </c>
      <c r="H73" t="s">
        <v>172</v>
      </c>
      <c r="I73" t="str">
        <f>Resumo[[#This Row],[Turma:]] &amp; " | " &amp; Resumo[[#This Row],[TextoSemana]] &amp; " | " &amp; Resumo[[#This Row],[Disciplina:]]</f>
        <v>9º ano E | Semana 2 - 05/jan a 09/jan | STEAM</v>
      </c>
      <c r="J73" t="s">
        <v>173</v>
      </c>
    </row>
    <row r="74" spans="1:10" x14ac:dyDescent="0.35">
      <c r="A74" t="s">
        <v>46</v>
      </c>
      <c r="B74">
        <v>2</v>
      </c>
      <c r="C74" s="3">
        <v>46027</v>
      </c>
      <c r="D74" s="3">
        <v>46031</v>
      </c>
      <c r="E74" t="s">
        <v>82</v>
      </c>
      <c r="F74" t="s">
        <v>15</v>
      </c>
      <c r="G74" t="s">
        <v>174</v>
      </c>
      <c r="H74" t="s">
        <v>175</v>
      </c>
      <c r="I74" t="str">
        <f>Resumo[[#This Row],[Turma:]] &amp; " | " &amp; Resumo[[#This Row],[TextoSemana]] &amp; " | " &amp; Resumo[[#This Row],[Disciplina:]]</f>
        <v>9º ano E | Semana 2 - 05/jan a 09/jan | Programação e Robótica</v>
      </c>
      <c r="J74" t="s">
        <v>176</v>
      </c>
    </row>
    <row r="75" spans="1:10" x14ac:dyDescent="0.35">
      <c r="A75" t="s">
        <v>36</v>
      </c>
      <c r="B75">
        <v>2</v>
      </c>
      <c r="C75" s="3">
        <v>46027</v>
      </c>
      <c r="D75" s="3">
        <v>46031</v>
      </c>
      <c r="E75" t="s">
        <v>82</v>
      </c>
      <c r="F75" t="s">
        <v>70</v>
      </c>
      <c r="G75" t="s">
        <v>177</v>
      </c>
      <c r="H75" t="s">
        <v>178</v>
      </c>
      <c r="I75" t="str">
        <f>Resumo[[#This Row],[Turma:]] &amp; " | " &amp; Resumo[[#This Row],[TextoSemana]] &amp; " | " &amp; Resumo[[#This Row],[Disciplina:]]</f>
        <v>1º ano D - EM | Semana 2 - 05/jan a 09/jan | Empreendedorismo</v>
      </c>
      <c r="J75" t="s">
        <v>179</v>
      </c>
    </row>
    <row r="76" spans="1:10" x14ac:dyDescent="0.35">
      <c r="A76" t="s">
        <v>37</v>
      </c>
      <c r="B76">
        <v>2</v>
      </c>
      <c r="C76" s="3">
        <v>46027</v>
      </c>
      <c r="D76" s="3">
        <v>46031</v>
      </c>
      <c r="E76" t="s">
        <v>82</v>
      </c>
      <c r="F76" t="s">
        <v>70</v>
      </c>
      <c r="G76" t="s">
        <v>177</v>
      </c>
      <c r="H76" t="s">
        <v>178</v>
      </c>
      <c r="I76" t="str">
        <f>Resumo[[#This Row],[Turma:]] &amp; " | " &amp; Resumo[[#This Row],[TextoSemana]] &amp; " | " &amp; Resumo[[#This Row],[Disciplina:]]</f>
        <v>1º ano E - EM | Semana 2 - 05/jan a 09/jan | Empreendedorismo</v>
      </c>
      <c r="J76" t="s">
        <v>179</v>
      </c>
    </row>
    <row r="77" spans="1:10" x14ac:dyDescent="0.35">
      <c r="A77" t="s">
        <v>24</v>
      </c>
      <c r="B77">
        <v>3</v>
      </c>
      <c r="C77" s="3">
        <v>46034</v>
      </c>
      <c r="D77" s="3">
        <v>46038</v>
      </c>
      <c r="E77" t="s">
        <v>103</v>
      </c>
      <c r="F77" t="s">
        <v>6</v>
      </c>
      <c r="G77" t="s">
        <v>182</v>
      </c>
      <c r="H77" t="s">
        <v>183</v>
      </c>
      <c r="I77" t="str">
        <f>Resumo[[#This Row],[Turma:]] &amp; " | " &amp; Resumo[[#This Row],[TextoSemana]] &amp; " | " &amp; Resumo[[#This Row],[Disciplina:]]</f>
        <v>6º ano A | Semana 3 - 12/jan a 16/jan | Língua Portuguesa</v>
      </c>
      <c r="J77" t="s">
        <v>184</v>
      </c>
    </row>
    <row r="78" spans="1:10" x14ac:dyDescent="0.35">
      <c r="A78" t="s">
        <v>25</v>
      </c>
      <c r="B78">
        <v>3</v>
      </c>
      <c r="C78" s="3">
        <v>46034</v>
      </c>
      <c r="D78" s="3">
        <v>46038</v>
      </c>
      <c r="E78" t="s">
        <v>103</v>
      </c>
      <c r="F78" t="s">
        <v>6</v>
      </c>
      <c r="G78" t="s">
        <v>182</v>
      </c>
      <c r="H78" t="s">
        <v>183</v>
      </c>
      <c r="I78" t="str">
        <f>Resumo[[#This Row],[Turma:]] &amp; " | " &amp; Resumo[[#This Row],[TextoSemana]] &amp; " | " &amp; Resumo[[#This Row],[Disciplina:]]</f>
        <v>6º ano B | Semana 3 - 12/jan a 16/jan | Língua Portuguesa</v>
      </c>
      <c r="J78" t="s">
        <v>184</v>
      </c>
    </row>
    <row r="79" spans="1:10" x14ac:dyDescent="0.35">
      <c r="A79" t="s">
        <v>26</v>
      </c>
      <c r="B79">
        <v>3</v>
      </c>
      <c r="C79" s="3">
        <v>46034</v>
      </c>
      <c r="D79" s="3">
        <v>46038</v>
      </c>
      <c r="E79" t="s">
        <v>103</v>
      </c>
      <c r="F79" t="s">
        <v>6</v>
      </c>
      <c r="G79" t="s">
        <v>182</v>
      </c>
      <c r="H79" t="s">
        <v>183</v>
      </c>
      <c r="I79" t="str">
        <f>Resumo[[#This Row],[Turma:]] &amp; " | " &amp; Resumo[[#This Row],[TextoSemana]] &amp; " | " &amp; Resumo[[#This Row],[Disciplina:]]</f>
        <v>6º ano C | Semana 3 - 12/jan a 16/jan | Língua Portuguesa</v>
      </c>
      <c r="J79" t="s">
        <v>184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C07-2762-4665-9718-EAFD5FD3BB4D}">
  <sheetPr codeName="Planilha3"/>
  <dimension ref="A1:M79"/>
  <sheetViews>
    <sheetView topLeftCell="A340" zoomScale="70" zoomScaleNormal="70" workbookViewId="0">
      <selection activeCell="L1" sqref="L1:L1048576"/>
    </sheetView>
  </sheetViews>
  <sheetFormatPr defaultRowHeight="14.5" x14ac:dyDescent="0.35"/>
  <cols>
    <col min="1" max="1" width="31.54296875" bestFit="1" customWidth="1"/>
    <col min="2" max="2" width="15.6328125" bestFit="1" customWidth="1"/>
    <col min="3" max="3" width="22.54296875" bestFit="1" customWidth="1"/>
    <col min="4" max="4" width="11.453125" bestFit="1" customWidth="1"/>
    <col min="5" max="7" width="80.7265625" bestFit="1" customWidth="1"/>
    <col min="8" max="8" width="20.7265625" bestFit="1" customWidth="1"/>
    <col min="9" max="9" width="5.90625" bestFit="1" customWidth="1"/>
    <col min="10" max="10" width="17.36328125" bestFit="1" customWidth="1"/>
    <col min="11" max="11" width="15.26953125" style="3" bestFit="1" customWidth="1"/>
    <col min="12" max="12" width="13.6328125" style="3" bestFit="1" customWidth="1"/>
    <col min="13" max="13" width="24.7265625" bestFit="1" customWidth="1"/>
  </cols>
  <sheetData>
    <row r="1" spans="1:13" x14ac:dyDescent="0.35">
      <c r="A1" t="s">
        <v>16</v>
      </c>
      <c r="B1" t="s">
        <v>17</v>
      </c>
      <c r="C1" t="s">
        <v>5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57</v>
      </c>
      <c r="K1" s="3" t="s">
        <v>58</v>
      </c>
      <c r="L1" s="3" t="s">
        <v>59</v>
      </c>
      <c r="M1" t="s">
        <v>60</v>
      </c>
    </row>
    <row r="2" spans="1:13" x14ac:dyDescent="0.35">
      <c r="A2" t="s">
        <v>86</v>
      </c>
      <c r="B2" t="s">
        <v>87</v>
      </c>
      <c r="C2" t="s">
        <v>6</v>
      </c>
      <c r="D2" t="s">
        <v>24</v>
      </c>
      <c r="E2" t="s">
        <v>83</v>
      </c>
      <c r="F2" t="s">
        <v>84</v>
      </c>
      <c r="G2" t="s">
        <v>85</v>
      </c>
      <c r="H2" t="s">
        <v>88</v>
      </c>
      <c r="I2">
        <v>43</v>
      </c>
      <c r="J2">
        <v>2</v>
      </c>
      <c r="K2" s="3">
        <v>46027</v>
      </c>
      <c r="L2" s="3">
        <v>46031</v>
      </c>
      <c r="M2" t="s">
        <v>82</v>
      </c>
    </row>
    <row r="3" spans="1:13" x14ac:dyDescent="0.35">
      <c r="A3" t="s">
        <v>86</v>
      </c>
      <c r="B3" t="s">
        <v>87</v>
      </c>
      <c r="C3" t="s">
        <v>6</v>
      </c>
      <c r="D3" t="s">
        <v>25</v>
      </c>
      <c r="E3" t="s">
        <v>83</v>
      </c>
      <c r="F3" t="s">
        <v>84</v>
      </c>
      <c r="G3" t="s">
        <v>85</v>
      </c>
      <c r="H3" t="s">
        <v>88</v>
      </c>
      <c r="I3">
        <v>43</v>
      </c>
      <c r="J3">
        <v>2</v>
      </c>
      <c r="K3" s="3">
        <v>46027</v>
      </c>
      <c r="L3" s="3">
        <v>46031</v>
      </c>
      <c r="M3" t="s">
        <v>82</v>
      </c>
    </row>
    <row r="4" spans="1:13" x14ac:dyDescent="0.35">
      <c r="A4" t="s">
        <v>86</v>
      </c>
      <c r="B4" t="s">
        <v>87</v>
      </c>
      <c r="C4" t="s">
        <v>6</v>
      </c>
      <c r="D4" t="s">
        <v>26</v>
      </c>
      <c r="E4" t="s">
        <v>83</v>
      </c>
      <c r="F4" t="s">
        <v>84</v>
      </c>
      <c r="G4" t="s">
        <v>85</v>
      </c>
      <c r="H4" t="s">
        <v>88</v>
      </c>
      <c r="I4">
        <v>43</v>
      </c>
      <c r="J4">
        <v>2</v>
      </c>
      <c r="K4" s="3">
        <v>46027</v>
      </c>
      <c r="L4" s="3">
        <v>46031</v>
      </c>
      <c r="M4" t="s">
        <v>82</v>
      </c>
    </row>
    <row r="5" spans="1:13" x14ac:dyDescent="0.35">
      <c r="A5" t="s">
        <v>92</v>
      </c>
      <c r="B5" t="s">
        <v>93</v>
      </c>
      <c r="C5" t="s">
        <v>13</v>
      </c>
      <c r="D5" t="s">
        <v>26</v>
      </c>
      <c r="E5" t="s">
        <v>89</v>
      </c>
      <c r="F5" t="s">
        <v>90</v>
      </c>
      <c r="G5" t="s">
        <v>91</v>
      </c>
      <c r="H5" t="s">
        <v>88</v>
      </c>
      <c r="I5">
        <v>44</v>
      </c>
      <c r="J5">
        <v>2</v>
      </c>
      <c r="K5" s="3">
        <v>46027</v>
      </c>
      <c r="L5" s="3">
        <v>46031</v>
      </c>
      <c r="M5" t="s">
        <v>82</v>
      </c>
    </row>
    <row r="6" spans="1:13" x14ac:dyDescent="0.35">
      <c r="A6" t="s">
        <v>143</v>
      </c>
      <c r="B6" t="s">
        <v>144</v>
      </c>
      <c r="C6" t="s">
        <v>12</v>
      </c>
      <c r="D6" t="s">
        <v>38</v>
      </c>
      <c r="E6" t="s">
        <v>95</v>
      </c>
      <c r="F6" t="s">
        <v>96</v>
      </c>
      <c r="G6" t="s">
        <v>97</v>
      </c>
      <c r="H6" t="s">
        <v>145</v>
      </c>
      <c r="I6">
        <v>45</v>
      </c>
      <c r="J6">
        <v>8</v>
      </c>
      <c r="K6" s="3">
        <v>46069</v>
      </c>
      <c r="L6" s="3">
        <v>46073</v>
      </c>
      <c r="M6" t="s">
        <v>94</v>
      </c>
    </row>
    <row r="7" spans="1:13" x14ac:dyDescent="0.35">
      <c r="A7" t="s">
        <v>143</v>
      </c>
      <c r="B7" t="s">
        <v>144</v>
      </c>
      <c r="C7" t="s">
        <v>12</v>
      </c>
      <c r="D7" t="s">
        <v>39</v>
      </c>
      <c r="E7" t="s">
        <v>95</v>
      </c>
      <c r="F7" t="s">
        <v>96</v>
      </c>
      <c r="G7" t="s">
        <v>97</v>
      </c>
      <c r="H7" t="s">
        <v>145</v>
      </c>
      <c r="I7">
        <v>45</v>
      </c>
      <c r="J7">
        <v>8</v>
      </c>
      <c r="K7" s="3">
        <v>46069</v>
      </c>
      <c r="L7" s="3">
        <v>46073</v>
      </c>
      <c r="M7" t="s">
        <v>94</v>
      </c>
    </row>
    <row r="8" spans="1:13" x14ac:dyDescent="0.35">
      <c r="A8" t="s">
        <v>143</v>
      </c>
      <c r="B8" t="s">
        <v>144</v>
      </c>
      <c r="C8" t="s">
        <v>12</v>
      </c>
      <c r="D8" t="s">
        <v>40</v>
      </c>
      <c r="E8" t="s">
        <v>95</v>
      </c>
      <c r="F8" t="s">
        <v>96</v>
      </c>
      <c r="G8" t="s">
        <v>97</v>
      </c>
      <c r="H8" t="s">
        <v>145</v>
      </c>
      <c r="I8">
        <v>45</v>
      </c>
      <c r="J8">
        <v>8</v>
      </c>
      <c r="K8" s="3">
        <v>46069</v>
      </c>
      <c r="L8" s="3">
        <v>46073</v>
      </c>
      <c r="M8" t="s">
        <v>94</v>
      </c>
    </row>
    <row r="9" spans="1:13" x14ac:dyDescent="0.35">
      <c r="A9" t="s">
        <v>143</v>
      </c>
      <c r="B9" t="s">
        <v>144</v>
      </c>
      <c r="C9" t="s">
        <v>12</v>
      </c>
      <c r="D9" t="s">
        <v>41</v>
      </c>
      <c r="E9" t="s">
        <v>95</v>
      </c>
      <c r="F9" t="s">
        <v>96</v>
      </c>
      <c r="G9" t="s">
        <v>97</v>
      </c>
      <c r="H9" t="s">
        <v>145</v>
      </c>
      <c r="I9">
        <v>45</v>
      </c>
      <c r="J9">
        <v>8</v>
      </c>
      <c r="K9" s="3">
        <v>46069</v>
      </c>
      <c r="L9" s="3">
        <v>46073</v>
      </c>
      <c r="M9" t="s">
        <v>94</v>
      </c>
    </row>
    <row r="10" spans="1:13" x14ac:dyDescent="0.35">
      <c r="A10" t="s">
        <v>146</v>
      </c>
      <c r="B10" t="s">
        <v>147</v>
      </c>
      <c r="C10" t="s">
        <v>6</v>
      </c>
      <c r="D10" t="s">
        <v>42</v>
      </c>
      <c r="E10" t="s">
        <v>99</v>
      </c>
      <c r="F10" t="s">
        <v>100</v>
      </c>
      <c r="G10" t="s">
        <v>101</v>
      </c>
      <c r="H10" t="s">
        <v>148</v>
      </c>
      <c r="I10">
        <v>46</v>
      </c>
      <c r="J10">
        <v>7</v>
      </c>
      <c r="K10" s="3">
        <v>46062</v>
      </c>
      <c r="L10" s="3">
        <v>46066</v>
      </c>
      <c r="M10" t="s">
        <v>98</v>
      </c>
    </row>
    <row r="11" spans="1:13" x14ac:dyDescent="0.35">
      <c r="A11" t="s">
        <v>146</v>
      </c>
      <c r="B11" t="s">
        <v>147</v>
      </c>
      <c r="C11" t="s">
        <v>6</v>
      </c>
      <c r="D11" t="s">
        <v>43</v>
      </c>
      <c r="E11" t="s">
        <v>102</v>
      </c>
      <c r="F11" t="s">
        <v>100</v>
      </c>
      <c r="G11" t="s">
        <v>101</v>
      </c>
      <c r="H11" t="s">
        <v>148</v>
      </c>
      <c r="I11">
        <v>47</v>
      </c>
      <c r="J11">
        <v>7</v>
      </c>
      <c r="K11" s="3">
        <v>46062</v>
      </c>
      <c r="L11" s="3">
        <v>46066</v>
      </c>
      <c r="M11" t="s">
        <v>98</v>
      </c>
    </row>
    <row r="12" spans="1:13" x14ac:dyDescent="0.35">
      <c r="A12" t="s">
        <v>146</v>
      </c>
      <c r="B12" t="s">
        <v>147</v>
      </c>
      <c r="C12" t="s">
        <v>6</v>
      </c>
      <c r="D12" t="s">
        <v>44</v>
      </c>
      <c r="E12" t="s">
        <v>102</v>
      </c>
      <c r="F12" t="s">
        <v>100</v>
      </c>
      <c r="G12" t="s">
        <v>101</v>
      </c>
      <c r="H12" t="s">
        <v>148</v>
      </c>
      <c r="I12">
        <v>47</v>
      </c>
      <c r="J12">
        <v>7</v>
      </c>
      <c r="K12" s="3">
        <v>46062</v>
      </c>
      <c r="L12" s="3">
        <v>46066</v>
      </c>
      <c r="M12" t="s">
        <v>98</v>
      </c>
    </row>
    <row r="13" spans="1:13" x14ac:dyDescent="0.35">
      <c r="A13" t="s">
        <v>146</v>
      </c>
      <c r="B13" t="s">
        <v>147</v>
      </c>
      <c r="C13" t="s">
        <v>6</v>
      </c>
      <c r="D13" t="s">
        <v>45</v>
      </c>
      <c r="E13" t="s">
        <v>102</v>
      </c>
      <c r="F13" t="s">
        <v>100</v>
      </c>
      <c r="G13" t="s">
        <v>101</v>
      </c>
      <c r="H13" t="s">
        <v>148</v>
      </c>
      <c r="I13">
        <v>47</v>
      </c>
      <c r="J13">
        <v>7</v>
      </c>
      <c r="K13" s="3">
        <v>46062</v>
      </c>
      <c r="L13" s="3">
        <v>46066</v>
      </c>
      <c r="M13" t="s">
        <v>98</v>
      </c>
    </row>
    <row r="14" spans="1:13" x14ac:dyDescent="0.35">
      <c r="A14" t="s">
        <v>146</v>
      </c>
      <c r="B14" t="s">
        <v>147</v>
      </c>
      <c r="C14" t="s">
        <v>6</v>
      </c>
      <c r="D14" t="s">
        <v>26</v>
      </c>
      <c r="E14" t="s">
        <v>102</v>
      </c>
      <c r="F14" t="s">
        <v>100</v>
      </c>
      <c r="G14" t="s">
        <v>101</v>
      </c>
      <c r="H14" t="s">
        <v>148</v>
      </c>
      <c r="I14">
        <v>47</v>
      </c>
      <c r="J14">
        <v>7</v>
      </c>
      <c r="K14" s="3">
        <v>46062</v>
      </c>
      <c r="L14" s="3">
        <v>46066</v>
      </c>
      <c r="M14" t="s">
        <v>98</v>
      </c>
    </row>
    <row r="15" spans="1:13" x14ac:dyDescent="0.35">
      <c r="A15" t="s">
        <v>146</v>
      </c>
      <c r="B15" t="s">
        <v>147</v>
      </c>
      <c r="C15" t="s">
        <v>6</v>
      </c>
      <c r="D15" t="s">
        <v>46</v>
      </c>
      <c r="E15" t="s">
        <v>102</v>
      </c>
      <c r="F15" t="s">
        <v>100</v>
      </c>
      <c r="G15" t="s">
        <v>101</v>
      </c>
      <c r="H15" t="s">
        <v>148</v>
      </c>
      <c r="I15">
        <v>47</v>
      </c>
      <c r="J15">
        <v>7</v>
      </c>
      <c r="K15" s="3">
        <v>46062</v>
      </c>
      <c r="L15" s="3">
        <v>46066</v>
      </c>
      <c r="M15" t="s">
        <v>98</v>
      </c>
    </row>
    <row r="16" spans="1:13" x14ac:dyDescent="0.35">
      <c r="A16" t="s">
        <v>149</v>
      </c>
      <c r="B16" t="s">
        <v>150</v>
      </c>
      <c r="C16" t="s">
        <v>6</v>
      </c>
      <c r="D16" t="s">
        <v>33</v>
      </c>
      <c r="E16" t="s">
        <v>104</v>
      </c>
      <c r="F16" t="s">
        <v>105</v>
      </c>
      <c r="G16" t="s">
        <v>106</v>
      </c>
      <c r="H16" t="s">
        <v>151</v>
      </c>
      <c r="I16">
        <v>48</v>
      </c>
      <c r="J16">
        <v>3</v>
      </c>
      <c r="K16" s="3">
        <v>46034</v>
      </c>
      <c r="L16" s="3">
        <v>46038</v>
      </c>
      <c r="M16" t="s">
        <v>103</v>
      </c>
    </row>
    <row r="17" spans="1:13" x14ac:dyDescent="0.35">
      <c r="A17" t="s">
        <v>149</v>
      </c>
      <c r="B17" t="s">
        <v>150</v>
      </c>
      <c r="C17" t="s">
        <v>6</v>
      </c>
      <c r="D17" t="s">
        <v>34</v>
      </c>
      <c r="E17" t="s">
        <v>104</v>
      </c>
      <c r="F17" t="s">
        <v>105</v>
      </c>
      <c r="G17" t="s">
        <v>106</v>
      </c>
      <c r="H17" t="s">
        <v>151</v>
      </c>
      <c r="I17">
        <v>48</v>
      </c>
      <c r="J17">
        <v>3</v>
      </c>
      <c r="K17" s="3">
        <v>46034</v>
      </c>
      <c r="L17" s="3">
        <v>46038</v>
      </c>
      <c r="M17" t="s">
        <v>103</v>
      </c>
    </row>
    <row r="18" spans="1:13" x14ac:dyDescent="0.35">
      <c r="A18" t="s">
        <v>149</v>
      </c>
      <c r="B18" t="s">
        <v>150</v>
      </c>
      <c r="C18" t="s">
        <v>6</v>
      </c>
      <c r="D18" t="s">
        <v>35</v>
      </c>
      <c r="E18" t="s">
        <v>104</v>
      </c>
      <c r="F18" t="s">
        <v>105</v>
      </c>
      <c r="G18" t="s">
        <v>106</v>
      </c>
      <c r="H18" t="s">
        <v>151</v>
      </c>
      <c r="I18">
        <v>48</v>
      </c>
      <c r="J18">
        <v>3</v>
      </c>
      <c r="K18" s="3">
        <v>46034</v>
      </c>
      <c r="L18" s="3">
        <v>46038</v>
      </c>
      <c r="M18" t="s">
        <v>103</v>
      </c>
    </row>
    <row r="19" spans="1:13" x14ac:dyDescent="0.35">
      <c r="A19" t="s">
        <v>149</v>
      </c>
      <c r="B19" t="s">
        <v>150</v>
      </c>
      <c r="C19" t="s">
        <v>6</v>
      </c>
      <c r="D19" t="s">
        <v>36</v>
      </c>
      <c r="E19" t="s">
        <v>104</v>
      </c>
      <c r="F19" t="s">
        <v>105</v>
      </c>
      <c r="G19" t="s">
        <v>106</v>
      </c>
      <c r="H19" t="s">
        <v>151</v>
      </c>
      <c r="I19">
        <v>48</v>
      </c>
      <c r="J19">
        <v>3</v>
      </c>
      <c r="K19" s="3">
        <v>46034</v>
      </c>
      <c r="L19" s="3">
        <v>46038</v>
      </c>
      <c r="M19" t="s">
        <v>103</v>
      </c>
    </row>
    <row r="20" spans="1:13" x14ac:dyDescent="0.35">
      <c r="A20" t="s">
        <v>149</v>
      </c>
      <c r="B20" t="s">
        <v>150</v>
      </c>
      <c r="C20" t="s">
        <v>6</v>
      </c>
      <c r="D20" t="s">
        <v>37</v>
      </c>
      <c r="E20" t="s">
        <v>104</v>
      </c>
      <c r="F20" t="s">
        <v>105</v>
      </c>
      <c r="G20" t="s">
        <v>106</v>
      </c>
      <c r="H20" t="s">
        <v>151</v>
      </c>
      <c r="I20">
        <v>48</v>
      </c>
      <c r="J20">
        <v>3</v>
      </c>
      <c r="K20" s="3">
        <v>46034</v>
      </c>
      <c r="L20" s="3">
        <v>46038</v>
      </c>
      <c r="M20" t="s">
        <v>103</v>
      </c>
    </row>
    <row r="21" spans="1:13" x14ac:dyDescent="0.35">
      <c r="A21" t="s">
        <v>149</v>
      </c>
      <c r="B21" t="s">
        <v>150</v>
      </c>
      <c r="C21" t="s">
        <v>6</v>
      </c>
      <c r="D21" t="s">
        <v>47</v>
      </c>
      <c r="E21" t="s">
        <v>107</v>
      </c>
      <c r="F21" t="s">
        <v>108</v>
      </c>
      <c r="G21" t="s">
        <v>109</v>
      </c>
      <c r="H21" t="s">
        <v>151</v>
      </c>
      <c r="I21">
        <v>49</v>
      </c>
      <c r="J21">
        <v>3</v>
      </c>
      <c r="K21" s="3">
        <v>46034</v>
      </c>
      <c r="L21" s="3">
        <v>46038</v>
      </c>
      <c r="M21" t="s">
        <v>103</v>
      </c>
    </row>
    <row r="22" spans="1:13" x14ac:dyDescent="0.35">
      <c r="A22" t="s">
        <v>149</v>
      </c>
      <c r="B22" t="s">
        <v>150</v>
      </c>
      <c r="C22" t="s">
        <v>6</v>
      </c>
      <c r="D22" t="s">
        <v>48</v>
      </c>
      <c r="E22" t="s">
        <v>107</v>
      </c>
      <c r="F22" t="s">
        <v>108</v>
      </c>
      <c r="G22" t="s">
        <v>109</v>
      </c>
      <c r="H22" t="s">
        <v>151</v>
      </c>
      <c r="I22">
        <v>49</v>
      </c>
      <c r="J22">
        <v>3</v>
      </c>
      <c r="K22" s="3">
        <v>46034</v>
      </c>
      <c r="L22" s="3">
        <v>46038</v>
      </c>
      <c r="M22" t="s">
        <v>103</v>
      </c>
    </row>
    <row r="23" spans="1:13" x14ac:dyDescent="0.35">
      <c r="A23" t="s">
        <v>149</v>
      </c>
      <c r="B23" t="s">
        <v>150</v>
      </c>
      <c r="C23" t="s">
        <v>32</v>
      </c>
      <c r="D23" t="s">
        <v>34</v>
      </c>
      <c r="E23" t="s">
        <v>110</v>
      </c>
      <c r="F23" t="s">
        <v>111</v>
      </c>
      <c r="G23" t="s">
        <v>106</v>
      </c>
      <c r="H23" t="s">
        <v>151</v>
      </c>
      <c r="I23">
        <v>50</v>
      </c>
      <c r="J23">
        <v>3</v>
      </c>
      <c r="K23" s="3">
        <v>46034</v>
      </c>
      <c r="L23" s="3">
        <v>46038</v>
      </c>
      <c r="M23" t="s">
        <v>103</v>
      </c>
    </row>
    <row r="24" spans="1:13" x14ac:dyDescent="0.35">
      <c r="A24" t="s">
        <v>152</v>
      </c>
      <c r="B24" t="s">
        <v>153</v>
      </c>
      <c r="C24" t="s">
        <v>12</v>
      </c>
      <c r="D24" t="s">
        <v>28</v>
      </c>
      <c r="E24" t="s">
        <v>113</v>
      </c>
      <c r="F24" t="s">
        <v>114</v>
      </c>
      <c r="G24" t="s">
        <v>115</v>
      </c>
      <c r="H24" t="s">
        <v>154</v>
      </c>
      <c r="I24">
        <v>51</v>
      </c>
      <c r="J24">
        <v>1</v>
      </c>
      <c r="K24" s="3">
        <v>46020</v>
      </c>
      <c r="L24" s="3">
        <v>46024</v>
      </c>
      <c r="M24" t="s">
        <v>112</v>
      </c>
    </row>
    <row r="25" spans="1:13" x14ac:dyDescent="0.35">
      <c r="A25" t="s">
        <v>155</v>
      </c>
      <c r="B25" t="s">
        <v>156</v>
      </c>
      <c r="C25" t="s">
        <v>12</v>
      </c>
      <c r="D25" t="s">
        <v>24</v>
      </c>
      <c r="E25" t="s">
        <v>116</v>
      </c>
      <c r="F25" t="s">
        <v>117</v>
      </c>
      <c r="G25" t="s">
        <v>118</v>
      </c>
      <c r="H25" t="s">
        <v>88</v>
      </c>
      <c r="I25">
        <v>52</v>
      </c>
      <c r="J25">
        <v>2</v>
      </c>
      <c r="K25" s="3">
        <v>46027</v>
      </c>
      <c r="L25" s="3">
        <v>46031</v>
      </c>
      <c r="M25" t="s">
        <v>82</v>
      </c>
    </row>
    <row r="26" spans="1:13" x14ac:dyDescent="0.35">
      <c r="A26" t="s">
        <v>155</v>
      </c>
      <c r="B26" t="s">
        <v>156</v>
      </c>
      <c r="C26" t="s">
        <v>12</v>
      </c>
      <c r="D26" t="s">
        <v>25</v>
      </c>
      <c r="E26" t="s">
        <v>116</v>
      </c>
      <c r="F26" t="s">
        <v>117</v>
      </c>
      <c r="G26" t="s">
        <v>118</v>
      </c>
      <c r="H26" t="s">
        <v>88</v>
      </c>
      <c r="I26">
        <v>52</v>
      </c>
      <c r="J26">
        <v>2</v>
      </c>
      <c r="K26" s="3">
        <v>46027</v>
      </c>
      <c r="L26" s="3">
        <v>46031</v>
      </c>
      <c r="M26" t="s">
        <v>82</v>
      </c>
    </row>
    <row r="27" spans="1:13" x14ac:dyDescent="0.35">
      <c r="A27" t="s">
        <v>155</v>
      </c>
      <c r="B27" t="s">
        <v>156</v>
      </c>
      <c r="C27" t="s">
        <v>12</v>
      </c>
      <c r="D27" t="s">
        <v>26</v>
      </c>
      <c r="E27" t="s">
        <v>116</v>
      </c>
      <c r="F27" t="s">
        <v>117</v>
      </c>
      <c r="G27" t="s">
        <v>118</v>
      </c>
      <c r="H27" t="s">
        <v>88</v>
      </c>
      <c r="I27">
        <v>52</v>
      </c>
      <c r="J27">
        <v>2</v>
      </c>
      <c r="K27" s="3">
        <v>46027</v>
      </c>
      <c r="L27" s="3">
        <v>46031</v>
      </c>
      <c r="M27" t="s">
        <v>82</v>
      </c>
    </row>
    <row r="28" spans="1:13" x14ac:dyDescent="0.35">
      <c r="A28" t="s">
        <v>155</v>
      </c>
      <c r="B28" t="s">
        <v>156</v>
      </c>
      <c r="C28" t="s">
        <v>12</v>
      </c>
      <c r="D28" t="s">
        <v>27</v>
      </c>
      <c r="E28" t="s">
        <v>116</v>
      </c>
      <c r="F28" t="s">
        <v>117</v>
      </c>
      <c r="G28" t="s">
        <v>118</v>
      </c>
      <c r="H28" t="s">
        <v>88</v>
      </c>
      <c r="I28">
        <v>52</v>
      </c>
      <c r="J28">
        <v>2</v>
      </c>
      <c r="K28" s="3">
        <v>46027</v>
      </c>
      <c r="L28" s="3">
        <v>46031</v>
      </c>
      <c r="M28" t="s">
        <v>82</v>
      </c>
    </row>
    <row r="29" spans="1:13" x14ac:dyDescent="0.35">
      <c r="A29" t="s">
        <v>157</v>
      </c>
      <c r="B29" t="s">
        <v>158</v>
      </c>
      <c r="C29" t="s">
        <v>8</v>
      </c>
      <c r="D29" t="s">
        <v>42</v>
      </c>
      <c r="E29" t="s">
        <v>119</v>
      </c>
      <c r="F29" t="s">
        <v>120</v>
      </c>
      <c r="G29" t="s">
        <v>121</v>
      </c>
      <c r="H29" t="s">
        <v>145</v>
      </c>
      <c r="I29">
        <v>53</v>
      </c>
      <c r="J29">
        <v>8</v>
      </c>
      <c r="K29" s="3">
        <v>46069</v>
      </c>
      <c r="L29" s="3">
        <v>46073</v>
      </c>
      <c r="M29" t="s">
        <v>94</v>
      </c>
    </row>
    <row r="30" spans="1:13" x14ac:dyDescent="0.35">
      <c r="A30" t="s">
        <v>157</v>
      </c>
      <c r="B30" t="s">
        <v>158</v>
      </c>
      <c r="C30" t="s">
        <v>8</v>
      </c>
      <c r="D30" t="s">
        <v>43</v>
      </c>
      <c r="E30" t="s">
        <v>119</v>
      </c>
      <c r="F30" t="s">
        <v>120</v>
      </c>
      <c r="G30" t="s">
        <v>121</v>
      </c>
      <c r="H30" t="s">
        <v>145</v>
      </c>
      <c r="I30">
        <v>53</v>
      </c>
      <c r="J30">
        <v>8</v>
      </c>
      <c r="K30" s="3">
        <v>46069</v>
      </c>
      <c r="L30" s="3">
        <v>46073</v>
      </c>
      <c r="M30" t="s">
        <v>94</v>
      </c>
    </row>
    <row r="31" spans="1:13" x14ac:dyDescent="0.35">
      <c r="A31" t="s">
        <v>157</v>
      </c>
      <c r="B31" t="s">
        <v>158</v>
      </c>
      <c r="C31" t="s">
        <v>8</v>
      </c>
      <c r="D31" t="s">
        <v>44</v>
      </c>
      <c r="E31" t="s">
        <v>119</v>
      </c>
      <c r="F31" t="s">
        <v>120</v>
      </c>
      <c r="G31" t="s">
        <v>121</v>
      </c>
      <c r="H31" t="s">
        <v>145</v>
      </c>
      <c r="I31">
        <v>53</v>
      </c>
      <c r="J31">
        <v>8</v>
      </c>
      <c r="K31" s="3">
        <v>46069</v>
      </c>
      <c r="L31" s="3">
        <v>46073</v>
      </c>
      <c r="M31" t="s">
        <v>94</v>
      </c>
    </row>
    <row r="32" spans="1:13" x14ac:dyDescent="0.35">
      <c r="A32" t="s">
        <v>157</v>
      </c>
      <c r="B32" t="s">
        <v>158</v>
      </c>
      <c r="C32" t="s">
        <v>8</v>
      </c>
      <c r="D32" t="s">
        <v>45</v>
      </c>
      <c r="E32" t="s">
        <v>119</v>
      </c>
      <c r="F32" t="s">
        <v>120</v>
      </c>
      <c r="G32" t="s">
        <v>121</v>
      </c>
      <c r="H32" t="s">
        <v>145</v>
      </c>
      <c r="I32">
        <v>53</v>
      </c>
      <c r="J32">
        <v>8</v>
      </c>
      <c r="K32" s="3">
        <v>46069</v>
      </c>
      <c r="L32" s="3">
        <v>46073</v>
      </c>
      <c r="M32" t="s">
        <v>94</v>
      </c>
    </row>
    <row r="33" spans="1:13" x14ac:dyDescent="0.35">
      <c r="A33" t="s">
        <v>157</v>
      </c>
      <c r="B33" t="s">
        <v>158</v>
      </c>
      <c r="C33" t="s">
        <v>8</v>
      </c>
      <c r="D33" t="s">
        <v>46</v>
      </c>
      <c r="E33" t="s">
        <v>119</v>
      </c>
      <c r="F33" t="s">
        <v>120</v>
      </c>
      <c r="G33" t="s">
        <v>121</v>
      </c>
      <c r="H33" t="s">
        <v>145</v>
      </c>
      <c r="I33">
        <v>53</v>
      </c>
      <c r="J33">
        <v>8</v>
      </c>
      <c r="K33" s="3">
        <v>46069</v>
      </c>
      <c r="L33" s="3">
        <v>46073</v>
      </c>
      <c r="M33" t="s">
        <v>94</v>
      </c>
    </row>
    <row r="34" spans="1:13" x14ac:dyDescent="0.35">
      <c r="A34" t="s">
        <v>157</v>
      </c>
      <c r="B34" t="s">
        <v>158</v>
      </c>
      <c r="C34" t="s">
        <v>8</v>
      </c>
      <c r="D34" t="s">
        <v>33</v>
      </c>
      <c r="E34" t="s">
        <v>122</v>
      </c>
      <c r="F34" t="s">
        <v>123</v>
      </c>
      <c r="G34" t="s">
        <v>124</v>
      </c>
      <c r="H34" t="s">
        <v>145</v>
      </c>
      <c r="I34">
        <v>54</v>
      </c>
      <c r="J34">
        <v>8</v>
      </c>
      <c r="K34" s="3">
        <v>46069</v>
      </c>
      <c r="L34" s="3">
        <v>46073</v>
      </c>
      <c r="M34" t="s">
        <v>94</v>
      </c>
    </row>
    <row r="35" spans="1:13" x14ac:dyDescent="0.35">
      <c r="A35" t="s">
        <v>157</v>
      </c>
      <c r="B35" t="s">
        <v>158</v>
      </c>
      <c r="C35" t="s">
        <v>8</v>
      </c>
      <c r="D35" t="s">
        <v>34</v>
      </c>
      <c r="E35" t="s">
        <v>122</v>
      </c>
      <c r="F35" t="s">
        <v>123</v>
      </c>
      <c r="G35" t="s">
        <v>124</v>
      </c>
      <c r="H35" t="s">
        <v>145</v>
      </c>
      <c r="I35">
        <v>54</v>
      </c>
      <c r="J35">
        <v>8</v>
      </c>
      <c r="K35" s="3">
        <v>46069</v>
      </c>
      <c r="L35" s="3">
        <v>46073</v>
      </c>
      <c r="M35" t="s">
        <v>94</v>
      </c>
    </row>
    <row r="36" spans="1:13" x14ac:dyDescent="0.35">
      <c r="A36" t="s">
        <v>157</v>
      </c>
      <c r="B36" t="s">
        <v>158</v>
      </c>
      <c r="C36" t="s">
        <v>8</v>
      </c>
      <c r="D36" t="s">
        <v>35</v>
      </c>
      <c r="E36" t="s">
        <v>122</v>
      </c>
      <c r="F36" t="s">
        <v>123</v>
      </c>
      <c r="G36" t="s">
        <v>124</v>
      </c>
      <c r="H36" t="s">
        <v>145</v>
      </c>
      <c r="I36">
        <v>54</v>
      </c>
      <c r="J36">
        <v>8</v>
      </c>
      <c r="K36" s="3">
        <v>46069</v>
      </c>
      <c r="L36" s="3">
        <v>46073</v>
      </c>
      <c r="M36" t="s">
        <v>94</v>
      </c>
    </row>
    <row r="37" spans="1:13" x14ac:dyDescent="0.35">
      <c r="A37" t="s">
        <v>157</v>
      </c>
      <c r="B37" t="s">
        <v>158</v>
      </c>
      <c r="C37" t="s">
        <v>8</v>
      </c>
      <c r="D37" t="s">
        <v>36</v>
      </c>
      <c r="E37" t="s">
        <v>122</v>
      </c>
      <c r="F37" t="s">
        <v>123</v>
      </c>
      <c r="G37" t="s">
        <v>124</v>
      </c>
      <c r="H37" t="s">
        <v>145</v>
      </c>
      <c r="I37">
        <v>54</v>
      </c>
      <c r="J37">
        <v>8</v>
      </c>
      <c r="K37" s="3">
        <v>46069</v>
      </c>
      <c r="L37" s="3">
        <v>46073</v>
      </c>
      <c r="M37" t="s">
        <v>94</v>
      </c>
    </row>
    <row r="38" spans="1:13" x14ac:dyDescent="0.35">
      <c r="A38" t="s">
        <v>157</v>
      </c>
      <c r="B38" t="s">
        <v>158</v>
      </c>
      <c r="C38" t="s">
        <v>8</v>
      </c>
      <c r="D38" t="s">
        <v>37</v>
      </c>
      <c r="E38" t="s">
        <v>122</v>
      </c>
      <c r="F38" t="s">
        <v>123</v>
      </c>
      <c r="G38" t="s">
        <v>124</v>
      </c>
      <c r="H38" t="s">
        <v>145</v>
      </c>
      <c r="I38">
        <v>54</v>
      </c>
      <c r="J38">
        <v>8</v>
      </c>
      <c r="K38" s="3">
        <v>46069</v>
      </c>
      <c r="L38" s="3">
        <v>46073</v>
      </c>
      <c r="M38" t="s">
        <v>94</v>
      </c>
    </row>
    <row r="39" spans="1:13" x14ac:dyDescent="0.35">
      <c r="A39" t="s">
        <v>157</v>
      </c>
      <c r="B39" t="s">
        <v>158</v>
      </c>
      <c r="C39" t="s">
        <v>8</v>
      </c>
      <c r="D39" t="s">
        <v>47</v>
      </c>
      <c r="E39" t="s">
        <v>125</v>
      </c>
      <c r="F39" t="s">
        <v>126</v>
      </c>
      <c r="G39" t="s">
        <v>127</v>
      </c>
      <c r="H39" t="s">
        <v>145</v>
      </c>
      <c r="I39">
        <v>55</v>
      </c>
      <c r="J39">
        <v>8</v>
      </c>
      <c r="K39" s="3">
        <v>46069</v>
      </c>
      <c r="L39" s="3">
        <v>46073</v>
      </c>
      <c r="M39" t="s">
        <v>94</v>
      </c>
    </row>
    <row r="40" spans="1:13" x14ac:dyDescent="0.35">
      <c r="A40" t="s">
        <v>157</v>
      </c>
      <c r="B40" t="s">
        <v>158</v>
      </c>
      <c r="C40" t="s">
        <v>8</v>
      </c>
      <c r="D40" t="s">
        <v>48</v>
      </c>
      <c r="E40" t="s">
        <v>125</v>
      </c>
      <c r="F40" t="s">
        <v>126</v>
      </c>
      <c r="G40" t="s">
        <v>127</v>
      </c>
      <c r="H40" t="s">
        <v>145</v>
      </c>
      <c r="I40">
        <v>55</v>
      </c>
      <c r="J40">
        <v>8</v>
      </c>
      <c r="K40" s="3">
        <v>46069</v>
      </c>
      <c r="L40" s="3">
        <v>46073</v>
      </c>
      <c r="M40" t="s">
        <v>94</v>
      </c>
    </row>
    <row r="41" spans="1:13" x14ac:dyDescent="0.35">
      <c r="A41" t="s">
        <v>157</v>
      </c>
      <c r="B41" t="s">
        <v>158</v>
      </c>
      <c r="C41" t="s">
        <v>8</v>
      </c>
      <c r="D41" t="s">
        <v>49</v>
      </c>
      <c r="E41" t="s">
        <v>125</v>
      </c>
      <c r="F41" t="s">
        <v>126</v>
      </c>
      <c r="G41" t="s">
        <v>127</v>
      </c>
      <c r="H41" t="s">
        <v>145</v>
      </c>
      <c r="I41">
        <v>55</v>
      </c>
      <c r="J41">
        <v>8</v>
      </c>
      <c r="K41" s="3">
        <v>46069</v>
      </c>
      <c r="L41" s="3">
        <v>46073</v>
      </c>
      <c r="M41" t="s">
        <v>94</v>
      </c>
    </row>
    <row r="42" spans="1:13" x14ac:dyDescent="0.35">
      <c r="A42" t="s">
        <v>157</v>
      </c>
      <c r="B42" t="s">
        <v>158</v>
      </c>
      <c r="C42" t="s">
        <v>8</v>
      </c>
      <c r="D42" t="s">
        <v>50</v>
      </c>
      <c r="E42" t="s">
        <v>125</v>
      </c>
      <c r="F42" t="s">
        <v>126</v>
      </c>
      <c r="G42" t="s">
        <v>127</v>
      </c>
      <c r="H42" t="s">
        <v>145</v>
      </c>
      <c r="I42">
        <v>55</v>
      </c>
      <c r="J42">
        <v>8</v>
      </c>
      <c r="K42" s="3">
        <v>46069</v>
      </c>
      <c r="L42" s="3">
        <v>46073</v>
      </c>
      <c r="M42" t="s">
        <v>94</v>
      </c>
    </row>
    <row r="43" spans="1:13" x14ac:dyDescent="0.35">
      <c r="A43" t="s">
        <v>157</v>
      </c>
      <c r="B43" t="s">
        <v>158</v>
      </c>
      <c r="C43" t="s">
        <v>8</v>
      </c>
      <c r="D43" t="s">
        <v>51</v>
      </c>
      <c r="E43" t="s">
        <v>125</v>
      </c>
      <c r="F43" t="s">
        <v>126</v>
      </c>
      <c r="G43" t="s">
        <v>127</v>
      </c>
      <c r="H43" t="s">
        <v>145</v>
      </c>
      <c r="I43">
        <v>55</v>
      </c>
      <c r="J43">
        <v>8</v>
      </c>
      <c r="K43" s="3">
        <v>46069</v>
      </c>
      <c r="L43" s="3">
        <v>46073</v>
      </c>
      <c r="M43" t="s">
        <v>94</v>
      </c>
    </row>
    <row r="44" spans="1:13" x14ac:dyDescent="0.35">
      <c r="A44" t="s">
        <v>159</v>
      </c>
      <c r="B44" t="s">
        <v>160</v>
      </c>
      <c r="C44" t="s">
        <v>7</v>
      </c>
      <c r="D44" t="s">
        <v>24</v>
      </c>
      <c r="E44" t="s">
        <v>128</v>
      </c>
      <c r="F44" t="s">
        <v>129</v>
      </c>
      <c r="H44" t="s">
        <v>154</v>
      </c>
      <c r="I44">
        <v>56</v>
      </c>
      <c r="J44">
        <v>1</v>
      </c>
      <c r="K44" s="3">
        <v>46020</v>
      </c>
      <c r="L44" s="3">
        <v>46024</v>
      </c>
      <c r="M44" t="s">
        <v>112</v>
      </c>
    </row>
    <row r="45" spans="1:13" x14ac:dyDescent="0.35">
      <c r="A45" t="s">
        <v>159</v>
      </c>
      <c r="B45" t="s">
        <v>160</v>
      </c>
      <c r="C45" t="s">
        <v>7</v>
      </c>
      <c r="D45" t="s">
        <v>25</v>
      </c>
      <c r="E45" t="s">
        <v>128</v>
      </c>
      <c r="F45" t="s">
        <v>129</v>
      </c>
      <c r="H45" t="s">
        <v>154</v>
      </c>
      <c r="I45">
        <v>56</v>
      </c>
      <c r="J45">
        <v>1</v>
      </c>
      <c r="K45" s="3">
        <v>46020</v>
      </c>
      <c r="L45" s="3">
        <v>46024</v>
      </c>
      <c r="M45" t="s">
        <v>112</v>
      </c>
    </row>
    <row r="46" spans="1:13" x14ac:dyDescent="0.35">
      <c r="A46" t="s">
        <v>159</v>
      </c>
      <c r="B46" t="s">
        <v>160</v>
      </c>
      <c r="C46" t="s">
        <v>7</v>
      </c>
      <c r="D46" t="s">
        <v>26</v>
      </c>
      <c r="E46" t="s">
        <v>128</v>
      </c>
      <c r="F46" t="s">
        <v>129</v>
      </c>
      <c r="H46" t="s">
        <v>154</v>
      </c>
      <c r="I46">
        <v>56</v>
      </c>
      <c r="J46">
        <v>1</v>
      </c>
      <c r="K46" s="3">
        <v>46020</v>
      </c>
      <c r="L46" s="3">
        <v>46024</v>
      </c>
      <c r="M46" t="s">
        <v>112</v>
      </c>
    </row>
    <row r="47" spans="1:13" x14ac:dyDescent="0.35">
      <c r="A47" t="s">
        <v>159</v>
      </c>
      <c r="B47" t="s">
        <v>160</v>
      </c>
      <c r="C47" t="s">
        <v>7</v>
      </c>
      <c r="D47" t="s">
        <v>27</v>
      </c>
      <c r="E47" t="s">
        <v>128</v>
      </c>
      <c r="F47" t="s">
        <v>129</v>
      </c>
      <c r="H47" t="s">
        <v>154</v>
      </c>
      <c r="I47">
        <v>56</v>
      </c>
      <c r="J47">
        <v>1</v>
      </c>
      <c r="K47" s="3">
        <v>46020</v>
      </c>
      <c r="L47" s="3">
        <v>46024</v>
      </c>
      <c r="M47" t="s">
        <v>112</v>
      </c>
    </row>
    <row r="48" spans="1:13" x14ac:dyDescent="0.35">
      <c r="A48" t="s">
        <v>161</v>
      </c>
      <c r="B48" t="s">
        <v>162</v>
      </c>
      <c r="C48" t="s">
        <v>12</v>
      </c>
      <c r="D48" t="s">
        <v>42</v>
      </c>
      <c r="E48" t="s">
        <v>132</v>
      </c>
      <c r="F48" t="s">
        <v>133</v>
      </c>
      <c r="G48" t="s">
        <v>134</v>
      </c>
      <c r="H48" t="s">
        <v>163</v>
      </c>
      <c r="I48">
        <v>57</v>
      </c>
      <c r="J48">
        <v>12</v>
      </c>
      <c r="K48" s="3">
        <v>46097</v>
      </c>
      <c r="L48" s="3">
        <v>46101</v>
      </c>
      <c r="M48" t="s">
        <v>131</v>
      </c>
    </row>
    <row r="49" spans="1:13" x14ac:dyDescent="0.35">
      <c r="A49" t="s">
        <v>161</v>
      </c>
      <c r="B49" t="s">
        <v>162</v>
      </c>
      <c r="C49" t="s">
        <v>12</v>
      </c>
      <c r="D49" t="s">
        <v>43</v>
      </c>
      <c r="E49" t="s">
        <v>132</v>
      </c>
      <c r="F49" t="s">
        <v>133</v>
      </c>
      <c r="G49" t="s">
        <v>134</v>
      </c>
      <c r="H49" t="s">
        <v>163</v>
      </c>
      <c r="I49">
        <v>57</v>
      </c>
      <c r="J49">
        <v>12</v>
      </c>
      <c r="K49" s="3">
        <v>46097</v>
      </c>
      <c r="L49" s="3">
        <v>46101</v>
      </c>
      <c r="M49" t="s">
        <v>131</v>
      </c>
    </row>
    <row r="50" spans="1:13" x14ac:dyDescent="0.35">
      <c r="A50" t="s">
        <v>161</v>
      </c>
      <c r="B50" t="s">
        <v>162</v>
      </c>
      <c r="C50" t="s">
        <v>12</v>
      </c>
      <c r="D50" t="s">
        <v>45</v>
      </c>
      <c r="E50" t="s">
        <v>132</v>
      </c>
      <c r="F50" t="s">
        <v>133</v>
      </c>
      <c r="G50" t="s">
        <v>134</v>
      </c>
      <c r="H50" t="s">
        <v>163</v>
      </c>
      <c r="I50">
        <v>57</v>
      </c>
      <c r="J50">
        <v>12</v>
      </c>
      <c r="K50" s="3">
        <v>46097</v>
      </c>
      <c r="L50" s="3">
        <v>46101</v>
      </c>
      <c r="M50" t="s">
        <v>131</v>
      </c>
    </row>
    <row r="51" spans="1:13" x14ac:dyDescent="0.35">
      <c r="A51" t="s">
        <v>161</v>
      </c>
      <c r="B51" t="s">
        <v>162</v>
      </c>
      <c r="C51" t="s">
        <v>12</v>
      </c>
      <c r="D51" t="s">
        <v>44</v>
      </c>
      <c r="E51" t="s">
        <v>132</v>
      </c>
      <c r="F51" t="s">
        <v>133</v>
      </c>
      <c r="G51" t="s">
        <v>134</v>
      </c>
      <c r="H51" t="s">
        <v>163</v>
      </c>
      <c r="I51">
        <v>57</v>
      </c>
      <c r="J51">
        <v>12</v>
      </c>
      <c r="K51" s="3">
        <v>46097</v>
      </c>
      <c r="L51" s="3">
        <v>46101</v>
      </c>
      <c r="M51" t="s">
        <v>131</v>
      </c>
    </row>
    <row r="52" spans="1:13" x14ac:dyDescent="0.35">
      <c r="A52" t="s">
        <v>161</v>
      </c>
      <c r="B52" t="s">
        <v>162</v>
      </c>
      <c r="C52" t="s">
        <v>12</v>
      </c>
      <c r="D52" t="s">
        <v>46</v>
      </c>
      <c r="E52" t="s">
        <v>132</v>
      </c>
      <c r="F52" t="s">
        <v>133</v>
      </c>
      <c r="G52" t="s">
        <v>134</v>
      </c>
      <c r="H52" t="s">
        <v>163</v>
      </c>
      <c r="I52">
        <v>57</v>
      </c>
      <c r="J52">
        <v>12</v>
      </c>
      <c r="K52" s="3">
        <v>46097</v>
      </c>
      <c r="L52" s="3">
        <v>46101</v>
      </c>
      <c r="M52" t="s">
        <v>131</v>
      </c>
    </row>
    <row r="53" spans="1:13" x14ac:dyDescent="0.35">
      <c r="A53" t="s">
        <v>92</v>
      </c>
      <c r="B53" t="s">
        <v>93</v>
      </c>
      <c r="C53" t="s">
        <v>13</v>
      </c>
      <c r="D53" t="s">
        <v>24</v>
      </c>
      <c r="E53" t="s">
        <v>135</v>
      </c>
      <c r="F53" t="s">
        <v>136</v>
      </c>
      <c r="G53" t="s">
        <v>137</v>
      </c>
      <c r="H53" t="s">
        <v>151</v>
      </c>
      <c r="I53">
        <v>58</v>
      </c>
      <c r="J53">
        <v>3</v>
      </c>
      <c r="K53" s="3">
        <v>46034</v>
      </c>
      <c r="L53" s="3">
        <v>46038</v>
      </c>
      <c r="M53" t="s">
        <v>103</v>
      </c>
    </row>
    <row r="54" spans="1:13" x14ac:dyDescent="0.35">
      <c r="A54" t="s">
        <v>92</v>
      </c>
      <c r="B54" t="s">
        <v>93</v>
      </c>
      <c r="C54" t="s">
        <v>13</v>
      </c>
      <c r="D54" t="s">
        <v>25</v>
      </c>
      <c r="E54" t="s">
        <v>135</v>
      </c>
      <c r="F54" t="s">
        <v>136</v>
      </c>
      <c r="G54" t="s">
        <v>137</v>
      </c>
      <c r="H54" t="s">
        <v>151</v>
      </c>
      <c r="I54">
        <v>58</v>
      </c>
      <c r="J54">
        <v>3</v>
      </c>
      <c r="K54" s="3">
        <v>46034</v>
      </c>
      <c r="L54" s="3">
        <v>46038</v>
      </c>
      <c r="M54" t="s">
        <v>103</v>
      </c>
    </row>
    <row r="55" spans="1:13" x14ac:dyDescent="0.35">
      <c r="A55" t="s">
        <v>92</v>
      </c>
      <c r="B55" t="s">
        <v>93</v>
      </c>
      <c r="C55" t="s">
        <v>13</v>
      </c>
      <c r="D55" t="s">
        <v>26</v>
      </c>
      <c r="E55" t="s">
        <v>135</v>
      </c>
      <c r="F55" t="s">
        <v>136</v>
      </c>
      <c r="G55" t="s">
        <v>137</v>
      </c>
      <c r="H55" t="s">
        <v>151</v>
      </c>
      <c r="I55">
        <v>58</v>
      </c>
      <c r="J55">
        <v>3</v>
      </c>
      <c r="K55" s="3">
        <v>46034</v>
      </c>
      <c r="L55" s="3">
        <v>46038</v>
      </c>
      <c r="M55" t="s">
        <v>103</v>
      </c>
    </row>
    <row r="56" spans="1:13" x14ac:dyDescent="0.35">
      <c r="A56" t="s">
        <v>92</v>
      </c>
      <c r="B56" t="s">
        <v>93</v>
      </c>
      <c r="C56" t="s">
        <v>13</v>
      </c>
      <c r="D56" t="s">
        <v>27</v>
      </c>
      <c r="E56" t="s">
        <v>135</v>
      </c>
      <c r="F56" t="s">
        <v>136</v>
      </c>
      <c r="G56" t="s">
        <v>137</v>
      </c>
      <c r="H56" t="s">
        <v>151</v>
      </c>
      <c r="I56">
        <v>58</v>
      </c>
      <c r="J56">
        <v>3</v>
      </c>
      <c r="K56" s="3">
        <v>46034</v>
      </c>
      <c r="L56" s="3">
        <v>46038</v>
      </c>
      <c r="M56" t="s">
        <v>103</v>
      </c>
    </row>
    <row r="57" spans="1:13" x14ac:dyDescent="0.35">
      <c r="A57" t="s">
        <v>92</v>
      </c>
      <c r="B57" t="s">
        <v>93</v>
      </c>
      <c r="C57" t="s">
        <v>13</v>
      </c>
      <c r="D57" t="s">
        <v>38</v>
      </c>
      <c r="E57" t="s">
        <v>138</v>
      </c>
      <c r="F57" t="s">
        <v>139</v>
      </c>
      <c r="H57" t="s">
        <v>151</v>
      </c>
      <c r="I57">
        <v>59</v>
      </c>
      <c r="J57">
        <v>3</v>
      </c>
      <c r="K57" s="3">
        <v>46034</v>
      </c>
      <c r="L57" s="3">
        <v>46038</v>
      </c>
      <c r="M57" t="s">
        <v>103</v>
      </c>
    </row>
    <row r="58" spans="1:13" x14ac:dyDescent="0.35">
      <c r="A58" t="s">
        <v>92</v>
      </c>
      <c r="B58" t="s">
        <v>93</v>
      </c>
      <c r="C58" t="s">
        <v>13</v>
      </c>
      <c r="D58" t="s">
        <v>39</v>
      </c>
      <c r="E58" t="s">
        <v>138</v>
      </c>
      <c r="F58" t="s">
        <v>139</v>
      </c>
      <c r="H58" t="s">
        <v>151</v>
      </c>
      <c r="I58">
        <v>59</v>
      </c>
      <c r="J58">
        <v>3</v>
      </c>
      <c r="K58" s="3">
        <v>46034</v>
      </c>
      <c r="L58" s="3">
        <v>46038</v>
      </c>
      <c r="M58" t="s">
        <v>103</v>
      </c>
    </row>
    <row r="59" spans="1:13" x14ac:dyDescent="0.35">
      <c r="A59" t="s">
        <v>92</v>
      </c>
      <c r="B59" t="s">
        <v>93</v>
      </c>
      <c r="C59" t="s">
        <v>13</v>
      </c>
      <c r="D59" t="s">
        <v>40</v>
      </c>
      <c r="E59" t="s">
        <v>138</v>
      </c>
      <c r="F59" t="s">
        <v>139</v>
      </c>
      <c r="H59" t="s">
        <v>151</v>
      </c>
      <c r="I59">
        <v>59</v>
      </c>
      <c r="J59">
        <v>3</v>
      </c>
      <c r="K59" s="3">
        <v>46034</v>
      </c>
      <c r="L59" s="3">
        <v>46038</v>
      </c>
      <c r="M59" t="s">
        <v>103</v>
      </c>
    </row>
    <row r="60" spans="1:13" x14ac:dyDescent="0.35">
      <c r="A60" t="s">
        <v>92</v>
      </c>
      <c r="B60" t="s">
        <v>93</v>
      </c>
      <c r="C60" t="s">
        <v>13</v>
      </c>
      <c r="D60" t="s">
        <v>41</v>
      </c>
      <c r="E60" t="s">
        <v>138</v>
      </c>
      <c r="F60" t="s">
        <v>139</v>
      </c>
      <c r="H60" t="s">
        <v>151</v>
      </c>
      <c r="I60">
        <v>59</v>
      </c>
      <c r="J60">
        <v>3</v>
      </c>
      <c r="K60" s="3">
        <v>46034</v>
      </c>
      <c r="L60" s="3">
        <v>46038</v>
      </c>
      <c r="M60" t="s">
        <v>103</v>
      </c>
    </row>
    <row r="61" spans="1:13" x14ac:dyDescent="0.35">
      <c r="A61" t="s">
        <v>92</v>
      </c>
      <c r="B61" t="s">
        <v>93</v>
      </c>
      <c r="C61" t="s">
        <v>14</v>
      </c>
      <c r="D61" t="s">
        <v>38</v>
      </c>
      <c r="E61" t="s">
        <v>140</v>
      </c>
      <c r="G61" t="s">
        <v>141</v>
      </c>
      <c r="H61" t="s">
        <v>151</v>
      </c>
      <c r="I61">
        <v>60</v>
      </c>
      <c r="J61">
        <v>3</v>
      </c>
      <c r="K61" s="3">
        <v>46034</v>
      </c>
      <c r="L61" s="3">
        <v>46038</v>
      </c>
      <c r="M61" t="s">
        <v>103</v>
      </c>
    </row>
    <row r="62" spans="1:13" x14ac:dyDescent="0.35">
      <c r="A62" t="s">
        <v>92</v>
      </c>
      <c r="B62" t="s">
        <v>93</v>
      </c>
      <c r="C62" t="s">
        <v>14</v>
      </c>
      <c r="D62" t="s">
        <v>40</v>
      </c>
      <c r="E62" t="s">
        <v>140</v>
      </c>
      <c r="G62" t="s">
        <v>141</v>
      </c>
      <c r="H62" t="s">
        <v>151</v>
      </c>
      <c r="I62">
        <v>60</v>
      </c>
      <c r="J62">
        <v>3</v>
      </c>
      <c r="K62" s="3">
        <v>46034</v>
      </c>
      <c r="L62" s="3">
        <v>46038</v>
      </c>
      <c r="M62" t="s">
        <v>103</v>
      </c>
    </row>
    <row r="63" spans="1:13" x14ac:dyDescent="0.35">
      <c r="A63" t="s">
        <v>92</v>
      </c>
      <c r="B63" t="s">
        <v>93</v>
      </c>
      <c r="C63" t="s">
        <v>14</v>
      </c>
      <c r="D63" t="s">
        <v>39</v>
      </c>
      <c r="E63" t="s">
        <v>140</v>
      </c>
      <c r="G63" t="s">
        <v>141</v>
      </c>
      <c r="H63" t="s">
        <v>151</v>
      </c>
      <c r="I63">
        <v>60</v>
      </c>
      <c r="J63">
        <v>3</v>
      </c>
      <c r="K63" s="3">
        <v>46034</v>
      </c>
      <c r="L63" s="3">
        <v>46038</v>
      </c>
      <c r="M63" t="s">
        <v>103</v>
      </c>
    </row>
    <row r="64" spans="1:13" x14ac:dyDescent="0.35">
      <c r="A64" t="s">
        <v>92</v>
      </c>
      <c r="B64" t="s">
        <v>93</v>
      </c>
      <c r="C64" t="s">
        <v>14</v>
      </c>
      <c r="D64" t="s">
        <v>42</v>
      </c>
      <c r="E64" t="s">
        <v>142</v>
      </c>
      <c r="H64" t="s">
        <v>151</v>
      </c>
      <c r="I64">
        <v>61</v>
      </c>
      <c r="J64">
        <v>3</v>
      </c>
      <c r="K64" s="3">
        <v>46034</v>
      </c>
      <c r="L64" s="3">
        <v>46038</v>
      </c>
      <c r="M64" t="s">
        <v>103</v>
      </c>
    </row>
    <row r="65" spans="1:13" x14ac:dyDescent="0.35">
      <c r="A65" t="s">
        <v>92</v>
      </c>
      <c r="B65" t="s">
        <v>93</v>
      </c>
      <c r="C65" t="s">
        <v>14</v>
      </c>
      <c r="D65" t="s">
        <v>43</v>
      </c>
      <c r="E65" t="s">
        <v>142</v>
      </c>
      <c r="H65" t="s">
        <v>151</v>
      </c>
      <c r="I65">
        <v>61</v>
      </c>
      <c r="J65">
        <v>3</v>
      </c>
      <c r="K65" s="3">
        <v>46034</v>
      </c>
      <c r="L65" s="3">
        <v>46038</v>
      </c>
      <c r="M65" t="s">
        <v>103</v>
      </c>
    </row>
    <row r="66" spans="1:13" x14ac:dyDescent="0.35">
      <c r="A66" t="s">
        <v>180</v>
      </c>
      <c r="B66" t="s">
        <v>181</v>
      </c>
      <c r="C66" t="s">
        <v>12</v>
      </c>
      <c r="D66" t="s">
        <v>35</v>
      </c>
      <c r="E66" t="s">
        <v>165</v>
      </c>
      <c r="F66" t="s">
        <v>166</v>
      </c>
      <c r="G66" t="s">
        <v>167</v>
      </c>
      <c r="H66" t="s">
        <v>88</v>
      </c>
      <c r="I66">
        <v>62</v>
      </c>
      <c r="J66">
        <v>2</v>
      </c>
      <c r="K66" s="3">
        <v>46027</v>
      </c>
      <c r="L66" s="3">
        <v>46031</v>
      </c>
      <c r="M66" t="s">
        <v>82</v>
      </c>
    </row>
    <row r="67" spans="1:13" x14ac:dyDescent="0.35">
      <c r="A67" t="s">
        <v>180</v>
      </c>
      <c r="B67" t="s">
        <v>181</v>
      </c>
      <c r="C67" t="s">
        <v>12</v>
      </c>
      <c r="D67" t="s">
        <v>36</v>
      </c>
      <c r="E67" t="s">
        <v>165</v>
      </c>
      <c r="F67" t="s">
        <v>166</v>
      </c>
      <c r="G67" t="s">
        <v>167</v>
      </c>
      <c r="H67" t="s">
        <v>88</v>
      </c>
      <c r="I67">
        <v>62</v>
      </c>
      <c r="J67">
        <v>2</v>
      </c>
      <c r="K67" s="3">
        <v>46027</v>
      </c>
      <c r="L67" s="3">
        <v>46031</v>
      </c>
      <c r="M67" t="s">
        <v>82</v>
      </c>
    </row>
    <row r="68" spans="1:13" x14ac:dyDescent="0.35">
      <c r="A68" t="s">
        <v>180</v>
      </c>
      <c r="B68" t="s">
        <v>181</v>
      </c>
      <c r="C68" t="s">
        <v>12</v>
      </c>
      <c r="D68" t="s">
        <v>47</v>
      </c>
      <c r="E68" t="s">
        <v>165</v>
      </c>
      <c r="F68" t="s">
        <v>166</v>
      </c>
      <c r="G68" t="s">
        <v>167</v>
      </c>
      <c r="H68" t="s">
        <v>88</v>
      </c>
      <c r="I68">
        <v>62</v>
      </c>
      <c r="J68">
        <v>2</v>
      </c>
      <c r="K68" s="3">
        <v>46027</v>
      </c>
      <c r="L68" s="3">
        <v>46031</v>
      </c>
      <c r="M68" t="s">
        <v>82</v>
      </c>
    </row>
    <row r="69" spans="1:13" x14ac:dyDescent="0.35">
      <c r="A69" t="s">
        <v>180</v>
      </c>
      <c r="B69" t="s">
        <v>181</v>
      </c>
      <c r="C69" t="s">
        <v>12</v>
      </c>
      <c r="D69" t="s">
        <v>50</v>
      </c>
      <c r="E69" t="s">
        <v>168</v>
      </c>
      <c r="F69" t="s">
        <v>169</v>
      </c>
      <c r="G69" t="s">
        <v>170</v>
      </c>
      <c r="H69" t="s">
        <v>88</v>
      </c>
      <c r="I69">
        <v>63</v>
      </c>
      <c r="J69">
        <v>2</v>
      </c>
      <c r="K69" s="3">
        <v>46027</v>
      </c>
      <c r="L69" s="3">
        <v>46031</v>
      </c>
      <c r="M69" t="s">
        <v>82</v>
      </c>
    </row>
    <row r="70" spans="1:13" x14ac:dyDescent="0.35">
      <c r="A70" t="s">
        <v>180</v>
      </c>
      <c r="B70" t="s">
        <v>181</v>
      </c>
      <c r="C70" t="s">
        <v>12</v>
      </c>
      <c r="D70" t="s">
        <v>51</v>
      </c>
      <c r="E70" t="s">
        <v>168</v>
      </c>
      <c r="F70" t="s">
        <v>169</v>
      </c>
      <c r="G70" t="s">
        <v>170</v>
      </c>
      <c r="H70" t="s">
        <v>88</v>
      </c>
      <c r="I70">
        <v>63</v>
      </c>
      <c r="J70">
        <v>2</v>
      </c>
      <c r="K70" s="3">
        <v>46027</v>
      </c>
      <c r="L70" s="3">
        <v>46031</v>
      </c>
      <c r="M70" t="s">
        <v>82</v>
      </c>
    </row>
    <row r="71" spans="1:13" x14ac:dyDescent="0.35">
      <c r="A71" t="s">
        <v>180</v>
      </c>
      <c r="B71" t="s">
        <v>181</v>
      </c>
      <c r="C71" t="s">
        <v>14</v>
      </c>
      <c r="D71" t="s">
        <v>44</v>
      </c>
      <c r="E71" t="s">
        <v>171</v>
      </c>
      <c r="F71" t="s">
        <v>172</v>
      </c>
      <c r="G71" t="s">
        <v>173</v>
      </c>
      <c r="H71" t="s">
        <v>88</v>
      </c>
      <c r="I71">
        <v>64</v>
      </c>
      <c r="J71">
        <v>2</v>
      </c>
      <c r="K71" s="3">
        <v>46027</v>
      </c>
      <c r="L71" s="3">
        <v>46031</v>
      </c>
      <c r="M71" t="s">
        <v>82</v>
      </c>
    </row>
    <row r="72" spans="1:13" x14ac:dyDescent="0.35">
      <c r="A72" t="s">
        <v>180</v>
      </c>
      <c r="B72" t="s">
        <v>181</v>
      </c>
      <c r="C72" t="s">
        <v>14</v>
      </c>
      <c r="D72" t="s">
        <v>45</v>
      </c>
      <c r="E72" t="s">
        <v>171</v>
      </c>
      <c r="F72" t="s">
        <v>172</v>
      </c>
      <c r="G72" t="s">
        <v>173</v>
      </c>
      <c r="H72" t="s">
        <v>88</v>
      </c>
      <c r="I72">
        <v>64</v>
      </c>
      <c r="J72">
        <v>2</v>
      </c>
      <c r="K72" s="3">
        <v>46027</v>
      </c>
      <c r="L72" s="3">
        <v>46031</v>
      </c>
      <c r="M72" t="s">
        <v>82</v>
      </c>
    </row>
    <row r="73" spans="1:13" x14ac:dyDescent="0.35">
      <c r="A73" t="s">
        <v>180</v>
      </c>
      <c r="B73" t="s">
        <v>181</v>
      </c>
      <c r="C73" t="s">
        <v>14</v>
      </c>
      <c r="D73" t="s">
        <v>46</v>
      </c>
      <c r="E73" t="s">
        <v>171</v>
      </c>
      <c r="F73" t="s">
        <v>172</v>
      </c>
      <c r="G73" t="s">
        <v>173</v>
      </c>
      <c r="H73" t="s">
        <v>88</v>
      </c>
      <c r="I73">
        <v>64</v>
      </c>
      <c r="J73">
        <v>2</v>
      </c>
      <c r="K73" s="3">
        <v>46027</v>
      </c>
      <c r="L73" s="3">
        <v>46031</v>
      </c>
      <c r="M73" t="s">
        <v>82</v>
      </c>
    </row>
    <row r="74" spans="1:13" x14ac:dyDescent="0.35">
      <c r="A74" t="s">
        <v>180</v>
      </c>
      <c r="B74" t="s">
        <v>181</v>
      </c>
      <c r="C74" t="s">
        <v>15</v>
      </c>
      <c r="D74" t="s">
        <v>46</v>
      </c>
      <c r="E74" t="s">
        <v>174</v>
      </c>
      <c r="F74" t="s">
        <v>175</v>
      </c>
      <c r="G74" t="s">
        <v>176</v>
      </c>
      <c r="H74" t="s">
        <v>88</v>
      </c>
      <c r="I74">
        <v>65</v>
      </c>
      <c r="J74">
        <v>2</v>
      </c>
      <c r="K74" s="3">
        <v>46027</v>
      </c>
      <c r="L74" s="3">
        <v>46031</v>
      </c>
      <c r="M74" t="s">
        <v>82</v>
      </c>
    </row>
    <row r="75" spans="1:13" x14ac:dyDescent="0.35">
      <c r="A75" t="s">
        <v>180</v>
      </c>
      <c r="B75" t="s">
        <v>181</v>
      </c>
      <c r="C75" t="s">
        <v>70</v>
      </c>
      <c r="D75" t="s">
        <v>36</v>
      </c>
      <c r="E75" t="s">
        <v>177</v>
      </c>
      <c r="F75" t="s">
        <v>178</v>
      </c>
      <c r="G75" t="s">
        <v>179</v>
      </c>
      <c r="H75" t="s">
        <v>88</v>
      </c>
      <c r="I75">
        <v>66</v>
      </c>
      <c r="J75">
        <v>2</v>
      </c>
      <c r="K75" s="3">
        <v>46027</v>
      </c>
      <c r="L75" s="3">
        <v>46031</v>
      </c>
      <c r="M75" t="s">
        <v>82</v>
      </c>
    </row>
    <row r="76" spans="1:13" x14ac:dyDescent="0.35">
      <c r="A76" t="s">
        <v>180</v>
      </c>
      <c r="B76" t="s">
        <v>181</v>
      </c>
      <c r="C76" t="s">
        <v>70</v>
      </c>
      <c r="D76" t="s">
        <v>37</v>
      </c>
      <c r="E76" t="s">
        <v>177</v>
      </c>
      <c r="F76" t="s">
        <v>178</v>
      </c>
      <c r="G76" t="s">
        <v>179</v>
      </c>
      <c r="H76" t="s">
        <v>88</v>
      </c>
      <c r="I76">
        <v>66</v>
      </c>
      <c r="J76">
        <v>2</v>
      </c>
      <c r="K76" s="3">
        <v>46027</v>
      </c>
      <c r="L76" s="3">
        <v>46031</v>
      </c>
      <c r="M76" t="s">
        <v>82</v>
      </c>
    </row>
    <row r="77" spans="1:13" x14ac:dyDescent="0.35">
      <c r="A77" t="s">
        <v>86</v>
      </c>
      <c r="B77" t="s">
        <v>87</v>
      </c>
      <c r="C77" t="s">
        <v>6</v>
      </c>
      <c r="D77" t="s">
        <v>24</v>
      </c>
      <c r="E77" t="s">
        <v>182</v>
      </c>
      <c r="F77" t="s">
        <v>183</v>
      </c>
      <c r="G77" t="s">
        <v>184</v>
      </c>
      <c r="H77" t="s">
        <v>151</v>
      </c>
      <c r="I77">
        <v>67</v>
      </c>
      <c r="J77">
        <v>3</v>
      </c>
      <c r="K77" s="3">
        <v>46034</v>
      </c>
      <c r="L77" s="3">
        <v>46038</v>
      </c>
      <c r="M77" t="s">
        <v>103</v>
      </c>
    </row>
    <row r="78" spans="1:13" x14ac:dyDescent="0.35">
      <c r="A78" t="s">
        <v>86</v>
      </c>
      <c r="B78" t="s">
        <v>87</v>
      </c>
      <c r="C78" t="s">
        <v>6</v>
      </c>
      <c r="D78" t="s">
        <v>25</v>
      </c>
      <c r="E78" t="s">
        <v>182</v>
      </c>
      <c r="F78" t="s">
        <v>183</v>
      </c>
      <c r="G78" t="s">
        <v>184</v>
      </c>
      <c r="H78" t="s">
        <v>151</v>
      </c>
      <c r="I78">
        <v>67</v>
      </c>
      <c r="J78">
        <v>3</v>
      </c>
      <c r="K78" s="3">
        <v>46034</v>
      </c>
      <c r="L78" s="3">
        <v>46038</v>
      </c>
      <c r="M78" t="s">
        <v>103</v>
      </c>
    </row>
    <row r="79" spans="1:13" x14ac:dyDescent="0.35">
      <c r="A79" t="s">
        <v>86</v>
      </c>
      <c r="B79" t="s">
        <v>87</v>
      </c>
      <c r="C79" t="s">
        <v>6</v>
      </c>
      <c r="D79" t="s">
        <v>26</v>
      </c>
      <c r="E79" t="s">
        <v>182</v>
      </c>
      <c r="F79" t="s">
        <v>183</v>
      </c>
      <c r="G79" t="s">
        <v>184</v>
      </c>
      <c r="H79" t="s">
        <v>151</v>
      </c>
      <c r="I79">
        <v>67</v>
      </c>
      <c r="J79">
        <v>3</v>
      </c>
      <c r="K79" s="3">
        <v>46034</v>
      </c>
      <c r="L79" s="3">
        <v>46038</v>
      </c>
      <c r="M79" t="s">
        <v>103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F2-5A0A-4171-A8A2-8B44028DEFEC}">
  <sheetPr codeName="Planilha4"/>
  <dimension ref="A1:K92"/>
  <sheetViews>
    <sheetView zoomScale="85" zoomScaleNormal="85" workbookViewId="0">
      <selection activeCell="E36" sqref="E36"/>
    </sheetView>
  </sheetViews>
  <sheetFormatPr defaultRowHeight="14.5" x14ac:dyDescent="0.35"/>
  <cols>
    <col min="1" max="1" width="17.7265625" bestFit="1" customWidth="1"/>
    <col min="3" max="3" width="22.7265625" bestFit="1" customWidth="1"/>
    <col min="5" max="5" width="26.7265625" bestFit="1" customWidth="1"/>
    <col min="7" max="7" width="17.26953125" customWidth="1"/>
    <col min="8" max="8" width="23.81640625" bestFit="1" customWidth="1"/>
    <col min="10" max="10" width="13.81640625" bestFit="1" customWidth="1"/>
    <col min="11" max="11" width="75.26953125" bestFit="1" customWidth="1"/>
  </cols>
  <sheetData>
    <row r="1" spans="1:11" x14ac:dyDescent="0.35">
      <c r="A1" t="s">
        <v>72</v>
      </c>
      <c r="C1" t="s">
        <v>71</v>
      </c>
      <c r="G1" t="s">
        <v>72</v>
      </c>
      <c r="H1" t="s">
        <v>71</v>
      </c>
      <c r="J1" t="s">
        <v>64</v>
      </c>
      <c r="K1" t="s">
        <v>80</v>
      </c>
    </row>
    <row r="2" spans="1:11" x14ac:dyDescent="0.35">
      <c r="A2" t="str" cm="1">
        <f t="array" ref="A2:A25">_xlfn._xlws.SORT(_xlfn.UNIQUE(Resumo[Turma:]))</f>
        <v>1º ano A - EM</v>
      </c>
      <c r="C2" t="str" cm="1">
        <f t="array" ref="C2:C7">_xlfn._xlws.SORT(_xlfn.UNIQUE(Resumo[TextoSemana]))</f>
        <v>Semana 1 - 29/dez a 02/jan</v>
      </c>
      <c r="E2" t="s">
        <v>0</v>
      </c>
      <c r="G2" t="str">
        <f>padrao!A2</f>
        <v>1º ano A - EM</v>
      </c>
      <c r="H2" t="str">
        <f>padrao!C2</f>
        <v>Semana 1 - 29/dez a 02/jan</v>
      </c>
      <c r="J2" t="s">
        <v>81</v>
      </c>
      <c r="K2" t="s">
        <v>164</v>
      </c>
    </row>
    <row r="3" spans="1:11" x14ac:dyDescent="0.35">
      <c r="A3" t="str">
        <v>1º ano B - EM</v>
      </c>
      <c r="C3" t="str">
        <v>Semana 12 - 16/mar a 20/mar</v>
      </c>
      <c r="E3" s="4" t="s">
        <v>15</v>
      </c>
      <c r="G3" t="str">
        <f>padrao!A3</f>
        <v>1º ano B - EM</v>
      </c>
      <c r="H3" t="str">
        <f>padrao!C3</f>
        <v>Semana 12 - 16/mar a 20/mar</v>
      </c>
    </row>
    <row r="4" spans="1:11" x14ac:dyDescent="0.35">
      <c r="A4" t="str">
        <v>1º ano C - EM</v>
      </c>
      <c r="C4" t="str">
        <v>Semana 2 - 05/jan a 09/jan</v>
      </c>
      <c r="E4" s="4" t="s">
        <v>6</v>
      </c>
      <c r="G4" t="str">
        <f>padrao!A4</f>
        <v>1º ano C - EM</v>
      </c>
      <c r="H4" t="str">
        <f>padrao!C4</f>
        <v>Semana 2 - 05/jan a 09/jan</v>
      </c>
    </row>
    <row r="5" spans="1:11" x14ac:dyDescent="0.35">
      <c r="A5" t="str">
        <v>1º ano D - EM</v>
      </c>
      <c r="C5" t="str">
        <v>Semana 3 - 12/jan a 16/jan</v>
      </c>
      <c r="E5" s="4" t="s">
        <v>7</v>
      </c>
      <c r="G5" t="str">
        <f>padrao!A5</f>
        <v>1º ano D - EM</v>
      </c>
      <c r="H5" t="str">
        <f>padrao!C5</f>
        <v>Semana 3 - 12/jan a 16/jan</v>
      </c>
    </row>
    <row r="6" spans="1:11" x14ac:dyDescent="0.35">
      <c r="A6" t="str">
        <v>1º ano E - EM</v>
      </c>
      <c r="C6" t="str">
        <v>Semana 7 - 09/fev a 13/fev</v>
      </c>
      <c r="E6" s="4" t="s">
        <v>8</v>
      </c>
      <c r="G6" t="str">
        <f>padrao!A6</f>
        <v>1º ano E - EM</v>
      </c>
      <c r="H6" t="str">
        <f>padrao!C6</f>
        <v>Semana 7 - 09/fev a 13/fev</v>
      </c>
    </row>
    <row r="7" spans="1:11" x14ac:dyDescent="0.35">
      <c r="A7" t="str">
        <v>2º ano A - EM</v>
      </c>
      <c r="C7" t="str">
        <v>Semana 8 - 16/fev a 20/fev</v>
      </c>
      <c r="E7" s="4" t="s">
        <v>9</v>
      </c>
      <c r="G7" t="str">
        <f>padrao!A7</f>
        <v>2º ano A - EM</v>
      </c>
      <c r="H7" t="str">
        <f>padrao!C7</f>
        <v>Semana 8 - 16/fev a 20/fev</v>
      </c>
    </row>
    <row r="8" spans="1:11" x14ac:dyDescent="0.35">
      <c r="A8" t="str">
        <v>2º ano B - EM</v>
      </c>
      <c r="E8" s="4" t="s">
        <v>10</v>
      </c>
      <c r="G8" t="str">
        <f>padrao!A8</f>
        <v>2º ano B - EM</v>
      </c>
      <c r="H8">
        <f>padrao!C8</f>
        <v>0</v>
      </c>
    </row>
    <row r="9" spans="1:11" x14ac:dyDescent="0.35">
      <c r="A9" t="str">
        <v>2º ano C - EM</v>
      </c>
      <c r="E9" s="4" t="s">
        <v>11</v>
      </c>
      <c r="G9" t="str">
        <f>padrao!A9</f>
        <v>2º ano C - EM</v>
      </c>
      <c r="H9">
        <f>padrao!C9</f>
        <v>0</v>
      </c>
    </row>
    <row r="10" spans="1:11" x14ac:dyDescent="0.35">
      <c r="A10" t="str">
        <v>2º ano D - EM</v>
      </c>
      <c r="E10" s="4" t="s">
        <v>12</v>
      </c>
      <c r="G10" t="str">
        <f>padrao!A10</f>
        <v>2º ano D - EM</v>
      </c>
      <c r="H10">
        <f>padrao!C10</f>
        <v>0</v>
      </c>
    </row>
    <row r="11" spans="1:11" x14ac:dyDescent="0.35">
      <c r="A11" t="str">
        <v>2º ano E - EM</v>
      </c>
      <c r="E11" s="4" t="s">
        <v>13</v>
      </c>
      <c r="G11" t="str">
        <f>padrao!A11</f>
        <v>2º ano E - EM</v>
      </c>
      <c r="H11">
        <f>padrao!C11</f>
        <v>0</v>
      </c>
    </row>
    <row r="12" spans="1:11" x14ac:dyDescent="0.35">
      <c r="A12" t="str">
        <v>6º ano A</v>
      </c>
      <c r="E12" s="4" t="s">
        <v>14</v>
      </c>
      <c r="G12" t="str">
        <f>padrao!A12</f>
        <v>6º ano A</v>
      </c>
      <c r="H12">
        <f>padrao!C12</f>
        <v>0</v>
      </c>
    </row>
    <row r="13" spans="1:11" x14ac:dyDescent="0.35">
      <c r="A13" t="str">
        <v>6º ano B</v>
      </c>
      <c r="E13" s="4" t="s">
        <v>65</v>
      </c>
      <c r="G13" t="str">
        <f>padrao!A13</f>
        <v>6º ano B</v>
      </c>
      <c r="H13">
        <f>padrao!C13</f>
        <v>0</v>
      </c>
    </row>
    <row r="14" spans="1:11" x14ac:dyDescent="0.35">
      <c r="A14" t="str">
        <v>6º ano C</v>
      </c>
      <c r="E14" s="4" t="s">
        <v>66</v>
      </c>
      <c r="G14" t="str">
        <f>padrao!A14</f>
        <v>6º ano C</v>
      </c>
      <c r="H14">
        <f>padrao!C14</f>
        <v>0</v>
      </c>
    </row>
    <row r="15" spans="1:11" x14ac:dyDescent="0.35">
      <c r="A15" t="str">
        <v>6º ano D</v>
      </c>
      <c r="E15" s="4" t="s">
        <v>67</v>
      </c>
      <c r="G15" t="str">
        <f>padrao!A15</f>
        <v>6º ano D</v>
      </c>
      <c r="H15">
        <f>padrao!C15</f>
        <v>0</v>
      </c>
    </row>
    <row r="16" spans="1:11" x14ac:dyDescent="0.35">
      <c r="A16" t="str">
        <v>7º ano A</v>
      </c>
      <c r="E16" s="4" t="s">
        <v>68</v>
      </c>
      <c r="G16" t="str">
        <f>padrao!A16</f>
        <v>7º ano A</v>
      </c>
      <c r="H16">
        <f>padrao!C16</f>
        <v>0</v>
      </c>
    </row>
    <row r="17" spans="1:8" x14ac:dyDescent="0.35">
      <c r="A17" t="str">
        <v>8º ano A</v>
      </c>
      <c r="E17" s="4" t="s">
        <v>69</v>
      </c>
      <c r="G17" t="str">
        <f>padrao!A17</f>
        <v>8º ano A</v>
      </c>
      <c r="H17">
        <f>padrao!C17</f>
        <v>0</v>
      </c>
    </row>
    <row r="18" spans="1:8" x14ac:dyDescent="0.35">
      <c r="A18" t="str">
        <v>8º ano B</v>
      </c>
      <c r="E18" s="4" t="s">
        <v>32</v>
      </c>
      <c r="G18" t="str">
        <f>padrao!A18</f>
        <v>8º ano B</v>
      </c>
      <c r="H18">
        <f>padrao!C18</f>
        <v>0</v>
      </c>
    </row>
    <row r="19" spans="1:8" x14ac:dyDescent="0.35">
      <c r="A19" t="str">
        <v>8º ano C</v>
      </c>
      <c r="E19" s="4" t="s">
        <v>70</v>
      </c>
      <c r="G19" t="str">
        <f>padrao!A19</f>
        <v>8º ano C</v>
      </c>
      <c r="H19">
        <f>padrao!C19</f>
        <v>0</v>
      </c>
    </row>
    <row r="20" spans="1:8" x14ac:dyDescent="0.35">
      <c r="A20" t="str">
        <v>8º ano D</v>
      </c>
      <c r="G20" t="str">
        <f>padrao!A20</f>
        <v>8º ano D</v>
      </c>
      <c r="H20">
        <f>padrao!C20</f>
        <v>0</v>
      </c>
    </row>
    <row r="21" spans="1:8" x14ac:dyDescent="0.35">
      <c r="A21" t="str">
        <v>9º ano A</v>
      </c>
      <c r="G21" t="str">
        <f>padrao!A21</f>
        <v>9º ano A</v>
      </c>
      <c r="H21">
        <f>padrao!C21</f>
        <v>0</v>
      </c>
    </row>
    <row r="22" spans="1:8" x14ac:dyDescent="0.35">
      <c r="A22" t="str">
        <v>9º ano B</v>
      </c>
      <c r="E22" t="s">
        <v>0</v>
      </c>
      <c r="G22" t="str">
        <f>padrao!A22</f>
        <v>9º ano B</v>
      </c>
      <c r="H22">
        <f>padrao!C22</f>
        <v>0</v>
      </c>
    </row>
    <row r="23" spans="1:8" x14ac:dyDescent="0.35">
      <c r="A23" t="str">
        <v>9º ano C</v>
      </c>
      <c r="E23" s="4" t="s">
        <v>15</v>
      </c>
      <c r="G23" t="str">
        <f>padrao!A23</f>
        <v>9º ano C</v>
      </c>
      <c r="H23">
        <f>padrao!C23</f>
        <v>0</v>
      </c>
    </row>
    <row r="24" spans="1:8" x14ac:dyDescent="0.35">
      <c r="A24" t="str">
        <v>9º ano D</v>
      </c>
      <c r="E24" s="4" t="s">
        <v>6</v>
      </c>
      <c r="G24" t="str">
        <f>padrao!A24</f>
        <v>9º ano D</v>
      </c>
      <c r="H24">
        <f>padrao!C24</f>
        <v>0</v>
      </c>
    </row>
    <row r="25" spans="1:8" x14ac:dyDescent="0.35">
      <c r="A25" t="str">
        <v>9º ano E</v>
      </c>
      <c r="E25" s="4" t="s">
        <v>7</v>
      </c>
      <c r="G25" t="str">
        <f>padrao!A25</f>
        <v>9º ano E</v>
      </c>
      <c r="H25">
        <f>padrao!C25</f>
        <v>0</v>
      </c>
    </row>
    <row r="26" spans="1:8" x14ac:dyDescent="0.35">
      <c r="E26" s="4" t="s">
        <v>8</v>
      </c>
      <c r="G26">
        <f>padrao!A26</f>
        <v>0</v>
      </c>
      <c r="H26">
        <f>padrao!C26</f>
        <v>0</v>
      </c>
    </row>
    <row r="27" spans="1:8" x14ac:dyDescent="0.35">
      <c r="E27" s="4" t="s">
        <v>9</v>
      </c>
      <c r="G27">
        <f>padrao!A27</f>
        <v>0</v>
      </c>
      <c r="H27">
        <f>padrao!C27</f>
        <v>0</v>
      </c>
    </row>
    <row r="28" spans="1:8" x14ac:dyDescent="0.35">
      <c r="E28" s="4" t="s">
        <v>10</v>
      </c>
      <c r="G28">
        <f>padrao!A28</f>
        <v>0</v>
      </c>
      <c r="H28">
        <f>padrao!C28</f>
        <v>0</v>
      </c>
    </row>
    <row r="29" spans="1:8" x14ac:dyDescent="0.35">
      <c r="E29" s="4" t="s">
        <v>11</v>
      </c>
      <c r="G29">
        <f>padrao!A29</f>
        <v>0</v>
      </c>
      <c r="H29">
        <f>padrao!C29</f>
        <v>0</v>
      </c>
    </row>
    <row r="30" spans="1:8" x14ac:dyDescent="0.35">
      <c r="E30" s="4" t="s">
        <v>12</v>
      </c>
      <c r="G30">
        <f>padrao!A30</f>
        <v>0</v>
      </c>
      <c r="H30">
        <f>padrao!C30</f>
        <v>0</v>
      </c>
    </row>
    <row r="31" spans="1:8" x14ac:dyDescent="0.35">
      <c r="E31" s="4" t="s">
        <v>13</v>
      </c>
      <c r="G31">
        <f>padrao!A31</f>
        <v>0</v>
      </c>
      <c r="H31">
        <f>padrao!C31</f>
        <v>0</v>
      </c>
    </row>
    <row r="32" spans="1:8" x14ac:dyDescent="0.35">
      <c r="E32" s="4" t="s">
        <v>14</v>
      </c>
      <c r="G32">
        <f>padrao!A32</f>
        <v>0</v>
      </c>
      <c r="H32">
        <f>padrao!C32</f>
        <v>0</v>
      </c>
    </row>
    <row r="33" spans="5:8" x14ac:dyDescent="0.35">
      <c r="E33" s="4"/>
      <c r="G33">
        <f>padrao!A33</f>
        <v>0</v>
      </c>
      <c r="H33">
        <f>padrao!C33</f>
        <v>0</v>
      </c>
    </row>
    <row r="34" spans="5:8" x14ac:dyDescent="0.35">
      <c r="E34" s="4"/>
      <c r="H34">
        <f>padrao!C34</f>
        <v>0</v>
      </c>
    </row>
    <row r="35" spans="5:8" x14ac:dyDescent="0.35">
      <c r="E35" t="s">
        <v>73</v>
      </c>
      <c r="H35">
        <f>padrao!C35</f>
        <v>0</v>
      </c>
    </row>
    <row r="36" spans="5:8" x14ac:dyDescent="0.35">
      <c r="E36" s="4" t="s">
        <v>15</v>
      </c>
      <c r="H36">
        <f>padrao!C36</f>
        <v>0</v>
      </c>
    </row>
    <row r="37" spans="5:8" x14ac:dyDescent="0.35">
      <c r="E37" s="4" t="s">
        <v>6</v>
      </c>
      <c r="H37">
        <f>padrao!C37</f>
        <v>0</v>
      </c>
    </row>
    <row r="38" spans="5:8" x14ac:dyDescent="0.35">
      <c r="E38" s="4" t="s">
        <v>7</v>
      </c>
      <c r="H38">
        <f>padrao!C38</f>
        <v>0</v>
      </c>
    </row>
    <row r="39" spans="5:8" x14ac:dyDescent="0.35">
      <c r="E39" s="4" t="s">
        <v>8</v>
      </c>
      <c r="H39">
        <f>padrao!C39</f>
        <v>0</v>
      </c>
    </row>
    <row r="40" spans="5:8" x14ac:dyDescent="0.35">
      <c r="E40" s="4" t="s">
        <v>9</v>
      </c>
      <c r="H40">
        <f>padrao!C40</f>
        <v>0</v>
      </c>
    </row>
    <row r="41" spans="5:8" x14ac:dyDescent="0.35">
      <c r="E41" s="4" t="s">
        <v>10</v>
      </c>
      <c r="H41">
        <f>padrao!C41</f>
        <v>0</v>
      </c>
    </row>
    <row r="42" spans="5:8" x14ac:dyDescent="0.35">
      <c r="E42" s="4" t="s">
        <v>11</v>
      </c>
      <c r="H42">
        <f>padrao!C42</f>
        <v>0</v>
      </c>
    </row>
    <row r="43" spans="5:8" x14ac:dyDescent="0.35">
      <c r="E43" s="4" t="s">
        <v>12</v>
      </c>
      <c r="H43">
        <f>padrao!C43</f>
        <v>0</v>
      </c>
    </row>
    <row r="44" spans="5:8" x14ac:dyDescent="0.35">
      <c r="E44" s="4" t="s">
        <v>65</v>
      </c>
      <c r="H44">
        <f>padrao!C44</f>
        <v>0</v>
      </c>
    </row>
    <row r="45" spans="5:8" x14ac:dyDescent="0.35">
      <c r="E45" s="4" t="s">
        <v>66</v>
      </c>
      <c r="H45">
        <f>padrao!C45</f>
        <v>0</v>
      </c>
    </row>
    <row r="46" spans="5:8" x14ac:dyDescent="0.35">
      <c r="E46" s="4" t="s">
        <v>67</v>
      </c>
      <c r="H46">
        <f>padrao!C46</f>
        <v>0</v>
      </c>
    </row>
    <row r="47" spans="5:8" x14ac:dyDescent="0.35">
      <c r="E47" s="4" t="s">
        <v>68</v>
      </c>
      <c r="H47">
        <f>padrao!C47</f>
        <v>0</v>
      </c>
    </row>
    <row r="48" spans="5:8" x14ac:dyDescent="0.35">
      <c r="E48" s="4" t="s">
        <v>69</v>
      </c>
      <c r="H48">
        <f>padrao!C48</f>
        <v>0</v>
      </c>
    </row>
    <row r="49" spans="5:8" x14ac:dyDescent="0.35">
      <c r="E49" s="4" t="s">
        <v>32</v>
      </c>
      <c r="H49">
        <f>padrao!C49</f>
        <v>0</v>
      </c>
    </row>
    <row r="50" spans="5:8" x14ac:dyDescent="0.35">
      <c r="E50" s="4" t="s">
        <v>70</v>
      </c>
      <c r="H50">
        <f>padrao!C50</f>
        <v>0</v>
      </c>
    </row>
    <row r="51" spans="5:8" x14ac:dyDescent="0.35">
      <c r="E51" s="4"/>
      <c r="H51">
        <f>padrao!C51</f>
        <v>0</v>
      </c>
    </row>
    <row r="52" spans="5:8" x14ac:dyDescent="0.35">
      <c r="E52" s="4"/>
      <c r="H52">
        <f>padrao!C52</f>
        <v>0</v>
      </c>
    </row>
    <row r="53" spans="5:8" x14ac:dyDescent="0.35">
      <c r="H53">
        <f>padrao!C53</f>
        <v>0</v>
      </c>
    </row>
    <row r="54" spans="5:8" x14ac:dyDescent="0.35">
      <c r="E54" t="s">
        <v>0</v>
      </c>
    </row>
    <row r="55" spans="5:8" x14ac:dyDescent="0.35">
      <c r="E55" s="4" t="s">
        <v>6</v>
      </c>
    </row>
    <row r="56" spans="5:8" x14ac:dyDescent="0.35">
      <c r="E56" s="4" t="s">
        <v>7</v>
      </c>
    </row>
    <row r="57" spans="5:8" x14ac:dyDescent="0.35">
      <c r="E57" s="4" t="s">
        <v>8</v>
      </c>
    </row>
    <row r="58" spans="5:8" x14ac:dyDescent="0.35">
      <c r="E58" s="4" t="s">
        <v>9</v>
      </c>
    </row>
    <row r="59" spans="5:8" x14ac:dyDescent="0.35">
      <c r="E59" s="4" t="s">
        <v>10</v>
      </c>
    </row>
    <row r="60" spans="5:8" x14ac:dyDescent="0.35">
      <c r="E60" s="4" t="s">
        <v>11</v>
      </c>
      <c r="G60" t="s">
        <v>75</v>
      </c>
      <c r="H60" t="s">
        <v>76</v>
      </c>
    </row>
    <row r="61" spans="5:8" x14ac:dyDescent="0.35">
      <c r="E61" s="4" t="s">
        <v>12</v>
      </c>
      <c r="G61" t="s">
        <v>24</v>
      </c>
      <c r="H61" t="s">
        <v>77</v>
      </c>
    </row>
    <row r="62" spans="5:8" x14ac:dyDescent="0.35">
      <c r="E62" s="4" t="s">
        <v>65</v>
      </c>
      <c r="G62" t="s">
        <v>25</v>
      </c>
      <c r="H62" t="s">
        <v>77</v>
      </c>
    </row>
    <row r="63" spans="5:8" x14ac:dyDescent="0.35">
      <c r="E63" s="4" t="s">
        <v>66</v>
      </c>
      <c r="G63" t="s">
        <v>26</v>
      </c>
      <c r="H63" t="s">
        <v>77</v>
      </c>
    </row>
    <row r="64" spans="5:8" x14ac:dyDescent="0.35">
      <c r="E64" s="4" t="s">
        <v>67</v>
      </c>
      <c r="G64" t="s">
        <v>27</v>
      </c>
      <c r="H64" t="s">
        <v>77</v>
      </c>
    </row>
    <row r="65" spans="5:8" x14ac:dyDescent="0.35">
      <c r="E65" s="4" t="s">
        <v>68</v>
      </c>
      <c r="G65" t="s">
        <v>28</v>
      </c>
      <c r="H65" t="s">
        <v>77</v>
      </c>
    </row>
    <row r="66" spans="5:8" x14ac:dyDescent="0.35">
      <c r="E66" s="4" t="s">
        <v>69</v>
      </c>
      <c r="G66" t="s">
        <v>29</v>
      </c>
      <c r="H66" t="s">
        <v>77</v>
      </c>
    </row>
    <row r="67" spans="5:8" x14ac:dyDescent="0.35">
      <c r="E67" s="4"/>
      <c r="G67" t="s">
        <v>31</v>
      </c>
      <c r="H67" t="s">
        <v>77</v>
      </c>
    </row>
    <row r="68" spans="5:8" x14ac:dyDescent="0.35">
      <c r="E68" s="4"/>
      <c r="G68" t="s">
        <v>30</v>
      </c>
      <c r="H68" t="s">
        <v>77</v>
      </c>
    </row>
    <row r="69" spans="5:8" x14ac:dyDescent="0.35">
      <c r="E69" s="4"/>
      <c r="G69" t="s">
        <v>38</v>
      </c>
      <c r="H69" t="s">
        <v>77</v>
      </c>
    </row>
    <row r="70" spans="5:8" x14ac:dyDescent="0.35">
      <c r="E70" s="4"/>
      <c r="G70" t="s">
        <v>39</v>
      </c>
      <c r="H70" t="s">
        <v>77</v>
      </c>
    </row>
    <row r="71" spans="5:8" x14ac:dyDescent="0.35">
      <c r="E71" s="4"/>
      <c r="G71" t="s">
        <v>40</v>
      </c>
      <c r="H71" t="s">
        <v>77</v>
      </c>
    </row>
    <row r="72" spans="5:8" x14ac:dyDescent="0.35">
      <c r="G72" t="s">
        <v>41</v>
      </c>
      <c r="H72" t="s">
        <v>77</v>
      </c>
    </row>
    <row r="73" spans="5:8" x14ac:dyDescent="0.35">
      <c r="E73" t="s">
        <v>0</v>
      </c>
      <c r="G73" t="s">
        <v>42</v>
      </c>
      <c r="H73" t="s">
        <v>77</v>
      </c>
    </row>
    <row r="74" spans="5:8" x14ac:dyDescent="0.35">
      <c r="E74" s="4" t="s">
        <v>6</v>
      </c>
      <c r="G74" t="s">
        <v>43</v>
      </c>
      <c r="H74" t="s">
        <v>77</v>
      </c>
    </row>
    <row r="75" spans="5:8" x14ac:dyDescent="0.35">
      <c r="E75" s="4" t="s">
        <v>7</v>
      </c>
      <c r="G75" t="s">
        <v>44</v>
      </c>
      <c r="H75" t="s">
        <v>77</v>
      </c>
    </row>
    <row r="76" spans="5:8" x14ac:dyDescent="0.35">
      <c r="E76" s="4" t="s">
        <v>10</v>
      </c>
      <c r="G76" t="s">
        <v>45</v>
      </c>
      <c r="H76" t="s">
        <v>77</v>
      </c>
    </row>
    <row r="77" spans="5:8" x14ac:dyDescent="0.35">
      <c r="E77" s="4" t="s">
        <v>11</v>
      </c>
      <c r="G77" t="s">
        <v>46</v>
      </c>
      <c r="H77" t="s">
        <v>77</v>
      </c>
    </row>
    <row r="78" spans="5:8" x14ac:dyDescent="0.35">
      <c r="E78" s="4" t="s">
        <v>12</v>
      </c>
      <c r="G78" t="s">
        <v>33</v>
      </c>
      <c r="H78" t="s">
        <v>78</v>
      </c>
    </row>
    <row r="79" spans="5:8" x14ac:dyDescent="0.35">
      <c r="E79" s="4" t="s">
        <v>65</v>
      </c>
      <c r="G79" t="s">
        <v>34</v>
      </c>
      <c r="H79" t="s">
        <v>78</v>
      </c>
    </row>
    <row r="80" spans="5:8" x14ac:dyDescent="0.35">
      <c r="E80" s="4" t="s">
        <v>66</v>
      </c>
      <c r="G80" t="s">
        <v>35</v>
      </c>
      <c r="H80" t="s">
        <v>78</v>
      </c>
    </row>
    <row r="81" spans="5:8" x14ac:dyDescent="0.35">
      <c r="E81" s="4" t="s">
        <v>67</v>
      </c>
      <c r="G81" t="s">
        <v>36</v>
      </c>
      <c r="H81" t="s">
        <v>78</v>
      </c>
    </row>
    <row r="82" spans="5:8" x14ac:dyDescent="0.35">
      <c r="E82" s="4"/>
      <c r="G82" t="s">
        <v>37</v>
      </c>
      <c r="H82" t="s">
        <v>78</v>
      </c>
    </row>
    <row r="83" spans="5:8" x14ac:dyDescent="0.35">
      <c r="E83" s="4"/>
      <c r="G83" t="s">
        <v>47</v>
      </c>
      <c r="H83" t="s">
        <v>74</v>
      </c>
    </row>
    <row r="84" spans="5:8" x14ac:dyDescent="0.35">
      <c r="E84" s="4"/>
      <c r="G84" t="s">
        <v>48</v>
      </c>
      <c r="H84" t="s">
        <v>74</v>
      </c>
    </row>
    <row r="85" spans="5:8" x14ac:dyDescent="0.35">
      <c r="E85" s="4"/>
      <c r="G85" t="s">
        <v>49</v>
      </c>
      <c r="H85" t="s">
        <v>74</v>
      </c>
    </row>
    <row r="86" spans="5:8" x14ac:dyDescent="0.35">
      <c r="E86" s="4"/>
      <c r="G86" t="s">
        <v>50</v>
      </c>
      <c r="H86" t="s">
        <v>74</v>
      </c>
    </row>
    <row r="87" spans="5:8" x14ac:dyDescent="0.35">
      <c r="E87" s="4"/>
      <c r="G87" t="s">
        <v>51</v>
      </c>
      <c r="H87" t="s">
        <v>74</v>
      </c>
    </row>
    <row r="88" spans="5:8" x14ac:dyDescent="0.35">
      <c r="E88" s="4"/>
      <c r="G88" t="s">
        <v>52</v>
      </c>
      <c r="H88" t="s">
        <v>79</v>
      </c>
    </row>
    <row r="89" spans="5:8" x14ac:dyDescent="0.35">
      <c r="E89" s="4"/>
      <c r="G89" t="s">
        <v>53</v>
      </c>
      <c r="H89" t="s">
        <v>79</v>
      </c>
    </row>
    <row r="90" spans="5:8" x14ac:dyDescent="0.35">
      <c r="E90" s="4"/>
      <c r="G90" t="s">
        <v>54</v>
      </c>
      <c r="H90" t="s">
        <v>79</v>
      </c>
    </row>
    <row r="91" spans="5:8" x14ac:dyDescent="0.35">
      <c r="G91" t="s">
        <v>55</v>
      </c>
      <c r="H91" t="s">
        <v>79</v>
      </c>
    </row>
    <row r="92" spans="5:8" x14ac:dyDescent="0.35">
      <c r="G92" t="s">
        <v>56</v>
      </c>
      <c r="H92" t="s">
        <v>79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rmino xmlns="ddb61399-3db0-4cf3-b594-9ebb66c3c7ac" xsi:nil="true"/>
    <Turma xmlns="ddb61399-3db0-4cf3-b594-9ebb66c3c7ac">6 ano A</Turma>
    <Inicio_x0020_ xmlns="ddb61399-3db0-4cf3-b594-9ebb66c3c7ac">2026-03-05T03:00:00+00:00</Inicio_x0020_>
    <Professor xmlns="ddb61399-3db0-4cf3-b594-9ebb66c3c7ac">
      <UserInfo xmlns="ddb61399-3db0-4cf3-b594-9ebb66c3c7ac">
        <DisplayName xmlns="ddb61399-3db0-4cf3-b594-9ebb66c3c7ac">Breno Malta Silva</DisplayName>
        <AccountId xmlns="ddb61399-3db0-4cf3-b594-9ebb66c3c7ac">4</AccountId>
        <AccountType xmlns="ddb61399-3db0-4cf3-b594-9ebb66c3c7ac"/>
      </UserInfo>
    </Professo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A6C2AD9A0C9D44A3C3F258687BCE4A" ma:contentTypeVersion="7" ma:contentTypeDescription="Crie um novo documento." ma:contentTypeScope="" ma:versionID="79dcfc2b42ef2999bd6a0e807f159b2d">
  <xsd:schema xmlns:xsd="http://www.w3.org/2001/XMLSchema" xmlns:xs="http://www.w3.org/2001/XMLSchema" xmlns:p="http://schemas.microsoft.com/office/2006/metadata/properties" xmlns:ns2="ddb61399-3db0-4cf3-b594-9ebb66c3c7ac" targetNamespace="http://schemas.microsoft.com/office/2006/metadata/properties" ma:root="true" ma:fieldsID="fa491a3c108730d2fe645d2e3cefa690" ns2:_="">
    <xsd:import namespace="ddb61399-3db0-4cf3-b594-9ebb66c3c7ac"/>
    <xsd:element name="properties">
      <xsd:complexType>
        <xsd:sequence>
          <xsd:element name="documentManagement">
            <xsd:complexType>
              <xsd:all>
                <xsd:element ref="ns2:Professor"/>
                <xsd:element ref="ns2:Turma"/>
                <xsd:element ref="ns2:Inicio_x0020_"/>
                <xsd:element ref="ns2:Termino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b61399-3db0-4cf3-b594-9ebb66c3c7ac" elementFormDefault="qualified">
    <xsd:import namespace="http://schemas.microsoft.com/office/2006/documentManagement/types"/>
    <xsd:import namespace="http://schemas.microsoft.com/office/infopath/2007/PartnerControls"/>
    <xsd:element name="Professor" ma:index="8" ma:displayName="Professor" ma:list="UserInfo" ma:SharePointGroup="0" ma:internalName="Professo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urma" ma:index="9" ma:displayName="Turma" ma:format="Dropdown" ma:internalName="Turma">
      <xsd:simpleType>
        <xsd:restriction base="dms:Choice">
          <xsd:enumeration value="6 ano A"/>
          <xsd:enumeration value="6 ano B"/>
          <xsd:enumeration value="Escolha 3"/>
        </xsd:restriction>
      </xsd:simpleType>
    </xsd:element>
    <xsd:element name="Inicio_x0020_" ma:index="10" ma:displayName="Inicio " ma:format="DateOnly" ma:internalName="Inicio_x0020_">
      <xsd:simpleType>
        <xsd:restriction base="dms:DateTime"/>
      </xsd:simpleType>
    </xsd:element>
    <xsd:element name="Termino" ma:index="11" nillable="true" ma:displayName="Termino" ma:format="DateTime" ma:internalName="Termino">
      <xsd:simpleType>
        <xsd:restriction base="dms:DateTim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6EA6B41-7114-4090-AC3A-59B689EC8CDB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ddb61399-3db0-4cf3-b594-9ebb66c3c7ac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820887B-D82E-4477-8309-1D7F1468C0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398503-4653-4D73-9DBB-CC8196BD5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b61399-3db0-4cf3-b594-9ebb66c3c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3E3875E-139E-49F0-BC6F-7AA6B8149E3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Modelo</vt:lpstr>
      <vt:lpstr>Resumo</vt:lpstr>
      <vt:lpstr>Semanário 2026</vt:lpstr>
      <vt:lpstr>padrao</vt:lpstr>
      <vt:lpstr>Modelo!Area_de_impressao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Malta Silva</dc:creator>
  <cp:lastModifiedBy>Analice Aparecida da Silva</cp:lastModifiedBy>
  <cp:lastPrinted>2026-03-19T13:08:22Z</cp:lastPrinted>
  <dcterms:created xsi:type="dcterms:W3CDTF">2026-03-03T13:05:04Z</dcterms:created>
  <dcterms:modified xsi:type="dcterms:W3CDTF">2026-03-19T13:09:28Z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0x01010053A6C2AD9A0C9D44A3C3F258687BCE4A</vt:lpwstr>
  </property>
</Properties>
</file>